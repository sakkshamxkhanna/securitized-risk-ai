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Loan Tape" sheetId="3" state="visible" r:id="rId3"/>
    <sheet xmlns:r="http://schemas.openxmlformats.org/officeDocument/2006/relationships" name="Stratification" sheetId="4" state="visible" r:id="rId4"/>
    <sheet xmlns:r="http://schemas.openxmlformats.org/officeDocument/2006/relationships" name="Pool Cashflows" sheetId="5" state="visible" r:id="rId5"/>
    <sheet xmlns:r="http://schemas.openxmlformats.org/officeDocument/2006/relationships" name="Waterfall" sheetId="6" state="visible" r:id="rId6"/>
    <sheet xmlns:r="http://schemas.openxmlformats.org/officeDocument/2006/relationships" name="Exposure &amp; RWA" sheetId="7" state="visible" r:id="rId7"/>
    <sheet xmlns:r="http://schemas.openxmlformats.org/officeDocument/2006/relationships" name="Scenario Str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;(#,##0);-"/>
    <numFmt numFmtId="165" formatCode="$#,##0;($#,##0);-"/>
    <numFmt numFmtId="166" formatCode="0.000"/>
    <numFmt numFmtId="167" formatCode="0.0"/>
    <numFmt numFmtId="168" formatCode="0.00%;(0.00%);-"/>
    <numFmt numFmtId="169" formatCode="0.000&quot;x&quot;"/>
    <numFmt numFmtId="170" formatCode="0.0%;(0.0%);-"/>
    <numFmt numFmtId="171" formatCode="0.00&quot;x&quot;"/>
    <numFmt numFmtId="172" formatCode="0.00000"/>
    <numFmt numFmtId="173" formatCode="0.000&quot;%&quot;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595959"/>
      <sz val="10"/>
    </font>
    <font>
      <name val="Arial"/>
      <i val="1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0000FF"/>
      <sz val="10"/>
    </font>
    <font>
      <name val="Arial"/>
      <color rgb="00595959"/>
      <sz val="9"/>
    </font>
    <font>
      <name val="Arial"/>
      <color rgb="000000FF"/>
      <sz val="10"/>
    </font>
    <font>
      <name val="Arial"/>
      <color rgb="00008000"/>
      <sz val="10"/>
    </font>
    <font>
      <name val="Arial"/>
      <color rgb="000000F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0" fontId="5" fillId="3" borderId="1" pivotButton="0" quotePrefix="0" xfId="0"/>
    <xf numFmtId="165" fontId="5" fillId="3" borderId="1" pivotButton="0" quotePrefix="0" xfId="0"/>
    <xf numFmtId="166" fontId="5" fillId="0" borderId="1" pivotButton="0" quotePrefix="0" xfId="0"/>
    <xf numFmtId="164" fontId="5" fillId="3" borderId="1" pivotButton="0" quotePrefix="0" xfId="0"/>
    <xf numFmtId="167" fontId="5" fillId="0" borderId="1" pivotButton="0" quotePrefix="0" xfId="0"/>
    <xf numFmtId="167" fontId="5" fillId="3" borderId="1" pivotButton="0" quotePrefix="0" xfId="0"/>
    <xf numFmtId="168" fontId="5" fillId="0" borderId="1" pivotButton="0" quotePrefix="0" xfId="0"/>
    <xf numFmtId="168" fontId="5" fillId="3" borderId="1" pivotButton="0" quotePrefix="0" xfId="0"/>
    <xf numFmtId="169" fontId="5" fillId="0" borderId="1" pivotButton="0" quotePrefix="0" xfId="0"/>
    <xf numFmtId="165" fontId="5" fillId="0" borderId="1" pivotButton="0" quotePrefix="0" xfId="0"/>
    <xf numFmtId="0" fontId="6" fillId="4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5" fillId="5" borderId="1" pivotButton="0" quotePrefix="0" xfId="0"/>
    <xf numFmtId="164" fontId="5" fillId="5" borderId="1" pivotButton="0" quotePrefix="0" xfId="0"/>
    <xf numFmtId="170" fontId="5" fillId="5" borderId="1" pivotButton="0" quotePrefix="0" xfId="0"/>
    <xf numFmtId="171" fontId="5" fillId="5" borderId="1" pivotButton="0" quotePrefix="0" xfId="0"/>
    <xf numFmtId="172" fontId="5" fillId="0" borderId="1" pivotButton="0" quotePrefix="0" xfId="0"/>
    <xf numFmtId="173" fontId="5" fillId="0" borderId="1" pivotButton="0" quotePrefix="0" xfId="0"/>
    <xf numFmtId="173" fontId="5" fillId="3" borderId="1" pivotButton="0" quotePrefix="0" xfId="0"/>
    <xf numFmtId="165" fontId="7" fillId="0" borderId="0" pivotButton="0" quotePrefix="0" xfId="0"/>
    <xf numFmtId="170" fontId="5" fillId="0" borderId="1" pivotButton="0" quotePrefix="0" xfId="0"/>
    <xf numFmtId="171" fontId="5" fillId="0" borderId="1" pivotButton="0" quotePrefix="0" xfId="0"/>
    <xf numFmtId="170" fontId="5" fillId="3" borderId="1" pivotButton="0" quotePrefix="0" xfId="0"/>
    <xf numFmtId="171" fontId="5" fillId="3" borderId="1" pivotButton="0" quotePrefix="0" xfId="0"/>
    <xf numFmtId="165" fontId="13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LoanTape" displayName="LoanTape" ref="A4:M2004" headerRowCount="1">
  <autoFilter ref="A4:M2004"/>
  <tableColumns count="13">
    <tableColumn id="1" name="loan_id"/>
    <tableColumn id="2" name="orig_balance"/>
    <tableColumn id="3" name="current_balance"/>
    <tableColumn id="4" name="coupon"/>
    <tableColumn id="5" name="fico"/>
    <tableColumn id="6" name="ltv"/>
    <tableColumn id="7" name="dti"/>
    <tableColumn id="8" name="seasoning_mo"/>
    <tableColumn id="9" name="remaining_term_mo"/>
    <tableColumn id="10" name="state"/>
    <tableColumn id="11" name="property_type"/>
    <tableColumn id="12" name="originator"/>
    <tableColumn id="13" name="servic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" t="inlineStr">
        <is>
          <t>Securitized Products Surveillance Pack</t>
        </is>
      </c>
    </row>
    <row r="2">
      <c r="A2" s="2" t="inlineStr">
        <is>
          <t>Synthetic RMBS Pool 2026-1 · generated 2026-08-13</t>
        </is>
      </c>
    </row>
    <row r="3">
      <c r="A3" s="3" t="inlineStr">
        <is>
          <t>All data is synthetic and generated for demonstration. RWA is a simplified rating-band proxy, not SEC-SA / SEC-IRBA.</t>
        </is>
      </c>
    </row>
    <row r="5">
      <c r="A5" s="4" t="inlineStr">
        <is>
          <t>Pool metric</t>
        </is>
      </c>
      <c r="B5" s="4" t="inlineStr">
        <is>
          <t>Value</t>
        </is>
      </c>
    </row>
    <row r="6">
      <c r="A6" s="5" t="inlineStr">
        <is>
          <t>Loan count</t>
        </is>
      </c>
      <c r="B6" s="6" t="n">
        <v>2000</v>
      </c>
    </row>
    <row r="7">
      <c r="A7" s="7" t="inlineStr">
        <is>
          <t>Current UPB</t>
        </is>
      </c>
      <c r="B7" s="8" t="n">
        <v>488885031.95</v>
      </c>
    </row>
    <row r="8">
      <c r="A8" s="5" t="inlineStr">
        <is>
          <t>WA coupon (%)</t>
        </is>
      </c>
      <c r="B8" s="9" t="n">
        <v>6.383</v>
      </c>
    </row>
    <row r="9">
      <c r="A9" s="7" t="inlineStr">
        <is>
          <t>WA FICO</t>
        </is>
      </c>
      <c r="B9" s="10" t="n">
        <v>715</v>
      </c>
    </row>
    <row r="10">
      <c r="A10" s="5" t="inlineStr">
        <is>
          <t>WA LTV (%)</t>
        </is>
      </c>
      <c r="B10" s="11" t="n">
        <v>74</v>
      </c>
    </row>
    <row r="11">
      <c r="A11" s="7" t="inlineStr">
        <is>
          <t>WA DTI (%)</t>
        </is>
      </c>
      <c r="B11" s="12" t="n">
        <v>35.9</v>
      </c>
    </row>
    <row r="12">
      <c r="A12" s="5" t="inlineStr">
        <is>
          <t>WA seasoning (mo)</t>
        </is>
      </c>
      <c r="B12" s="11" t="n">
        <v>24</v>
      </c>
    </row>
    <row r="15">
      <c r="A15" s="4" t="inlineStr">
        <is>
          <t>Projected performance</t>
        </is>
      </c>
      <c r="B15" s="4" t="inlineStr">
        <is>
          <t>Value</t>
        </is>
      </c>
    </row>
    <row r="16">
      <c r="A16" s="5" t="inlineStr">
        <is>
          <t>Average CPR</t>
        </is>
      </c>
      <c r="B16" s="13" t="n">
        <v>0.09854944505625302</v>
      </c>
    </row>
    <row r="17">
      <c r="A17" s="7" t="inlineStr">
        <is>
          <t>Average CDR (GNN-adjusted)</t>
        </is>
      </c>
      <c r="B17" s="14" t="n">
        <v>0.01433548412893393</v>
      </c>
    </row>
    <row r="18">
      <c r="A18" s="5" t="inlineStr">
        <is>
          <t>GNN risk multiplier</t>
        </is>
      </c>
      <c r="B18" s="15" t="n">
        <v>1.371474981307983</v>
      </c>
    </row>
    <row r="19">
      <c r="A19" s="7" t="inlineStr">
        <is>
          <t>Cumulative loss (base)</t>
        </is>
      </c>
      <c r="B19" s="8" t="n">
        <v>6166284.35</v>
      </c>
    </row>
    <row r="20">
      <c r="A20" s="5" t="inlineStr">
        <is>
          <t>Total RWA</t>
        </is>
      </c>
      <c r="B20" s="16" t="n">
        <v>196603445.34</v>
      </c>
    </row>
    <row r="21">
      <c r="A21" s="7" t="inlineStr">
        <is>
          <t>Total expected loss</t>
        </is>
      </c>
      <c r="B21" s="8" t="n">
        <v>894632.55</v>
      </c>
    </row>
    <row r="24">
      <c r="A24" s="1" t="inlineStr">
        <is>
          <t>Escalations</t>
        </is>
      </c>
    </row>
    <row r="25">
      <c r="A25" s="17" t="inlineStr">
        <is>
          <t>ESCALATION: scenario S1 (Credit stress (rising unemployment, HPI decline)) projects cumulative loss of 2.49% of UPB, above the 2.0% desk threshold.</t>
        </is>
      </c>
    </row>
    <row r="29">
      <c r="A29" s="1" t="inlineStr">
        <is>
          <t>Contents</t>
        </is>
      </c>
    </row>
    <row r="30">
      <c r="A30" s="18" t="inlineStr">
        <is>
          <t>Assumptions</t>
        </is>
      </c>
      <c r="B30" s="19" t="inlineStr">
        <is>
          <t>Inputs, risk weights, model validation</t>
        </is>
      </c>
    </row>
    <row r="31">
      <c r="A31" s="18" t="inlineStr">
        <is>
          <t>Loan Tape</t>
        </is>
      </c>
      <c r="B31" s="19" t="inlineStr">
        <is>
          <t>Loan-level collateral data</t>
        </is>
      </c>
    </row>
    <row r="32">
      <c r="A32" s="18" t="inlineStr">
        <is>
          <t>Stratification</t>
        </is>
      </c>
      <c r="B32" s="19" t="inlineStr">
        <is>
          <t>FICO / LTV / geography cuts (live formulas)</t>
        </is>
      </c>
    </row>
    <row r="33">
      <c r="A33" s="18" t="inlineStr">
        <is>
          <t>Pool Cashflows</t>
        </is>
      </c>
      <c r="B33" s="19" t="inlineStr">
        <is>
          <t>Projected monthly cashflows, base case</t>
        </is>
      </c>
    </row>
    <row r="34">
      <c r="A34" s="18" t="inlineStr">
        <is>
          <t>Waterfall</t>
        </is>
      </c>
      <c r="B34" s="19" t="inlineStr">
        <is>
          <t>Tranche principal, interest, balances</t>
        </is>
      </c>
    </row>
    <row r="35">
      <c r="A35" s="18" t="inlineStr">
        <is>
          <t>Exposure &amp; RWA</t>
        </is>
      </c>
      <c r="B35" s="19" t="inlineStr">
        <is>
          <t>EAD, PD, LGD, EL, RWA</t>
        </is>
      </c>
    </row>
    <row r="36">
      <c r="A36" s="18" t="inlineStr">
        <is>
          <t>Scenario Stress</t>
        </is>
      </c>
      <c r="B36" s="19" t="inlineStr">
        <is>
          <t>Generated scenarios and escalation flags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52" customWidth="1" min="4" max="4"/>
  </cols>
  <sheetData>
    <row r="1">
      <c r="A1" s="1" t="inlineStr">
        <is>
          <t>Surveillance Assumptions &amp; Model Inputs</t>
        </is>
      </c>
    </row>
    <row r="2">
      <c r="A2" s="20" t="inlineStr">
        <is>
          <t>Blue cells are hardcoded inputs. Every downstream sheet references them.</t>
        </is>
      </c>
    </row>
    <row r="4">
      <c r="A4" s="4" t="inlineStr">
        <is>
          <t>Assumption</t>
        </is>
      </c>
      <c r="B4" s="4" t="inlineStr">
        <is>
          <t>Value</t>
        </is>
      </c>
      <c r="C4" s="4" t="inlineStr"/>
      <c r="D4" s="4" t="inlineStr">
        <is>
          <t>Note</t>
        </is>
      </c>
    </row>
    <row r="5">
      <c r="A5" s="5" t="inlineStr">
        <is>
          <t>Deal</t>
        </is>
      </c>
      <c r="B5" s="21" t="inlineStr">
        <is>
          <t>Synthetic RMBS Pool 2026-1</t>
        </is>
      </c>
      <c r="C5" s="5" t="n"/>
      <c r="D5" s="5" t="inlineStr">
        <is>
          <t>Demonstration pool — synthetic data</t>
        </is>
      </c>
    </row>
    <row r="6">
      <c r="A6" s="5" t="inlineStr">
        <is>
          <t>Projection horizon (months)</t>
        </is>
      </c>
      <c r="B6" s="22" t="n">
        <v>36</v>
      </c>
      <c r="C6" s="5" t="n"/>
      <c r="D6" s="5" t="inlineStr">
        <is>
          <t>Surveillance projection window</t>
        </is>
      </c>
    </row>
    <row r="7">
      <c r="A7" s="5" t="inlineStr">
        <is>
          <t>Loss severity (LGD)</t>
        </is>
      </c>
      <c r="B7" s="23" t="n">
        <v>0.35</v>
      </c>
      <c r="C7" s="5" t="n"/>
      <c r="D7" s="5" t="inlineStr">
        <is>
          <t>Applied to defaulted balance</t>
        </is>
      </c>
    </row>
    <row r="8">
      <c r="A8" s="5" t="inlineStr">
        <is>
          <t>Escalation threshold (% UPB)</t>
        </is>
      </c>
      <c r="B8" s="23" t="n">
        <v>0.02</v>
      </c>
      <c r="C8" s="5" t="n"/>
      <c r="D8" s="5" t="inlineStr">
        <is>
          <t>Cumulative loss above this escalates to desk</t>
        </is>
      </c>
    </row>
    <row r="9">
      <c r="A9" s="5" t="inlineStr">
        <is>
          <t>Senior tranche size</t>
        </is>
      </c>
      <c r="B9" s="23" t="n">
        <v>0.78</v>
      </c>
      <c r="C9" s="5" t="n"/>
      <c r="D9" s="5" t="inlineStr">
        <is>
          <t>Capital structure — Class A</t>
        </is>
      </c>
    </row>
    <row r="10">
      <c r="A10" s="5" t="inlineStr">
        <is>
          <t>Mezzanine tranche size</t>
        </is>
      </c>
      <c r="B10" s="23" t="n">
        <v>0.14</v>
      </c>
      <c r="C10" s="5" t="n"/>
      <c r="D10" s="5" t="inlineStr">
        <is>
          <t>Capital structure — Class M</t>
        </is>
      </c>
    </row>
    <row r="11">
      <c r="A11" s="5" t="inlineStr">
        <is>
          <t>Subordinate tranche size</t>
        </is>
      </c>
      <c r="B11" s="23" t="n">
        <v>0.08</v>
      </c>
      <c r="C11" s="5" t="n"/>
      <c r="D11" s="5" t="inlineStr">
        <is>
          <t>Capital structure — Class B</t>
        </is>
      </c>
    </row>
    <row r="15">
      <c r="A15" s="1" t="inlineStr">
        <is>
          <t>Standardized-approach risk weights</t>
        </is>
      </c>
    </row>
    <row r="16">
      <c r="A16" s="20" t="inlineStr">
        <is>
          <t>Simplified rating-band proxy — not a full SEC-SA / SEC-IRBA implementation.</t>
        </is>
      </c>
    </row>
    <row r="17">
      <c r="A17" s="4" t="inlineStr">
        <is>
          <t>Rating</t>
        </is>
      </c>
      <c r="B17" s="4" t="inlineStr">
        <is>
          <t>Risk weight</t>
        </is>
      </c>
    </row>
    <row r="18">
      <c r="A18" s="5" t="inlineStr">
        <is>
          <t>AAA</t>
        </is>
      </c>
      <c r="B18" s="24" t="n">
        <v>0.2</v>
      </c>
    </row>
    <row r="19">
      <c r="A19" s="5" t="inlineStr">
        <is>
          <t>AA</t>
        </is>
      </c>
      <c r="B19" s="24" t="n">
        <v>0.2</v>
      </c>
    </row>
    <row r="20">
      <c r="A20" s="5" t="inlineStr">
        <is>
          <t>A</t>
        </is>
      </c>
      <c r="B20" s="24" t="n">
        <v>0.5</v>
      </c>
    </row>
    <row r="21">
      <c r="A21" s="5" t="inlineStr">
        <is>
          <t>BBB</t>
        </is>
      </c>
      <c r="B21" s="24" t="n">
        <v>1</v>
      </c>
    </row>
    <row r="22">
      <c r="A22" s="5" t="inlineStr">
        <is>
          <t>BB</t>
        </is>
      </c>
      <c r="B22" s="24" t="n">
        <v>2.5</v>
      </c>
    </row>
    <row r="23">
      <c r="A23" s="5" t="inlineStr">
        <is>
          <t>B</t>
        </is>
      </c>
      <c r="B23" s="24" t="n">
        <v>4.25</v>
      </c>
    </row>
    <row r="24">
      <c r="A24" s="5" t="inlineStr">
        <is>
          <t>Unrated</t>
        </is>
      </c>
      <c r="B24" s="24" t="n">
        <v>12.5</v>
      </c>
    </row>
    <row r="27">
      <c r="A27" s="1" t="inlineStr">
        <is>
          <t>Model validation (holdout, 400 unseen sequences)</t>
        </is>
      </c>
    </row>
    <row r="28">
      <c r="A28" s="4" t="inlineStr">
        <is>
          <t>Metric</t>
        </is>
      </c>
      <c r="B28" s="4" t="inlineStr">
        <is>
          <t>CPR</t>
        </is>
      </c>
      <c r="C28" s="4" t="inlineStr">
        <is>
          <t>CDR</t>
        </is>
      </c>
    </row>
    <row r="29">
      <c r="A29" s="5" t="inlineStr">
        <is>
          <t>R²</t>
        </is>
      </c>
      <c r="B29" s="9" t="n">
        <v>0.8642</v>
      </c>
      <c r="C29" s="9" t="n">
        <v>0.9746</v>
      </c>
    </row>
    <row r="30">
      <c r="A30" s="5" t="inlineStr">
        <is>
          <t>MAE</t>
        </is>
      </c>
      <c r="B30" s="25" t="n">
        <v>0.00453</v>
      </c>
      <c r="C30" s="25" t="n">
        <v>0.00037</v>
      </c>
    </row>
    <row r="31">
      <c r="A31" s="5" t="inlineStr">
        <is>
          <t>Predicted sd</t>
        </is>
      </c>
      <c r="B31" s="5" t="n"/>
      <c r="C31" s="25" t="n">
        <v>0.00369</v>
      </c>
    </row>
    <row r="32">
      <c r="A32" s="5" t="inlineStr">
        <is>
          <t>Realised sd</t>
        </is>
      </c>
      <c r="B32" s="5" t="n"/>
      <c r="C32" s="25" t="n">
        <v>0.00374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  <col width="14" customWidth="1" min="9" max="9"/>
    <col width="8" customWidth="1" min="10" max="10"/>
    <col width="14" customWidth="1" min="11" max="11"/>
    <col width="22" customWidth="1" min="12" max="12"/>
    <col width="22" customWidth="1" min="13" max="13"/>
  </cols>
  <sheetData>
    <row r="1">
      <c r="A1" s="1" t="inlineStr">
        <is>
          <t>Loan-Level Collateral Tape</t>
        </is>
      </c>
    </row>
    <row r="2">
      <c r="A2" s="20" t="inlineStr">
        <is>
          <t>2,000 loans. Source data for every stratification on this workbook.</t>
        </is>
      </c>
    </row>
    <row r="4">
      <c r="A4" s="4" t="inlineStr">
        <is>
          <t>loan_id</t>
        </is>
      </c>
      <c r="B4" s="4" t="inlineStr">
        <is>
          <t>orig_balance</t>
        </is>
      </c>
      <c r="C4" s="4" t="inlineStr">
        <is>
          <t>current_balance</t>
        </is>
      </c>
      <c r="D4" s="4" t="inlineStr">
        <is>
          <t>coupon</t>
        </is>
      </c>
      <c r="E4" s="4" t="inlineStr">
        <is>
          <t>fico</t>
        </is>
      </c>
      <c r="F4" s="4" t="inlineStr">
        <is>
          <t>ltv</t>
        </is>
      </c>
      <c r="G4" s="4" t="inlineStr">
        <is>
          <t>dti</t>
        </is>
      </c>
      <c r="H4" s="4" t="inlineStr">
        <is>
          <t>seasoning_mo</t>
        </is>
      </c>
      <c r="I4" s="4" t="inlineStr">
        <is>
          <t>remaining_term_mo</t>
        </is>
      </c>
      <c r="J4" s="4" t="inlineStr">
        <is>
          <t>state</t>
        </is>
      </c>
      <c r="K4" s="4" t="inlineStr">
        <is>
          <t>property_type</t>
        </is>
      </c>
      <c r="L4" s="4" t="inlineStr">
        <is>
          <t>originator</t>
        </is>
      </c>
      <c r="M4" s="4" t="inlineStr">
        <is>
          <t>servicer</t>
        </is>
      </c>
    </row>
    <row r="5">
      <c r="A5" s="5" t="inlineStr">
        <is>
          <t>L100000</t>
        </is>
      </c>
      <c r="B5" s="16" t="n">
        <v>270127.94</v>
      </c>
      <c r="C5" s="16" t="n">
        <v>259045.88</v>
      </c>
      <c r="D5" s="26" t="n">
        <v>6.7</v>
      </c>
      <c r="E5" s="6" t="n">
        <v>690</v>
      </c>
      <c r="F5" s="11" t="n">
        <v>77</v>
      </c>
      <c r="G5" s="11" t="n">
        <v>37.8</v>
      </c>
      <c r="H5" s="6" t="n">
        <v>42</v>
      </c>
      <c r="I5" s="6" t="n">
        <v>318</v>
      </c>
      <c r="J5" s="5" t="inlineStr">
        <is>
          <t>NY</t>
        </is>
      </c>
      <c r="K5" s="5" t="inlineStr">
        <is>
          <t>SFR</t>
        </is>
      </c>
      <c r="L5" s="5" t="inlineStr">
        <is>
          <t>Meridian Home Loans</t>
        </is>
      </c>
      <c r="M5" s="5" t="inlineStr">
        <is>
          <t>Pier Asset Mgmt</t>
        </is>
      </c>
    </row>
    <row r="6">
      <c r="A6" s="7" t="inlineStr">
        <is>
          <t>L100001</t>
        </is>
      </c>
      <c r="B6" s="8" t="n">
        <v>168721.64</v>
      </c>
      <c r="C6" s="8" t="n">
        <v>163539.79</v>
      </c>
      <c r="D6" s="27" t="n">
        <v>7.513</v>
      </c>
      <c r="E6" s="10" t="n">
        <v>678</v>
      </c>
      <c r="F6" s="12" t="n">
        <v>84.7</v>
      </c>
      <c r="G6" s="12" t="n">
        <v>35.6</v>
      </c>
      <c r="H6" s="10" t="n">
        <v>37</v>
      </c>
      <c r="I6" s="10" t="n">
        <v>323</v>
      </c>
      <c r="J6" s="7" t="inlineStr">
        <is>
          <t>AZ</t>
        </is>
      </c>
      <c r="K6" s="7" t="inlineStr">
        <is>
          <t>SFR</t>
        </is>
      </c>
      <c r="L6" s="7" t="inlineStr">
        <is>
          <t>Highline Capital</t>
        </is>
      </c>
      <c r="M6" s="7" t="inlineStr">
        <is>
          <t>Northgate Servicing</t>
        </is>
      </c>
    </row>
    <row r="7">
      <c r="A7" s="5" t="inlineStr">
        <is>
          <t>L100002</t>
        </is>
      </c>
      <c r="B7" s="16" t="n">
        <v>315734.81</v>
      </c>
      <c r="C7" s="16" t="n">
        <v>307167</v>
      </c>
      <c r="D7" s="26" t="n">
        <v>7.494</v>
      </c>
      <c r="E7" s="6" t="n">
        <v>739</v>
      </c>
      <c r="F7" s="11" t="n">
        <v>77.3</v>
      </c>
      <c r="G7" s="11" t="n">
        <v>42.9</v>
      </c>
      <c r="H7" s="6" t="n">
        <v>33</v>
      </c>
      <c r="I7" s="6" t="n">
        <v>327</v>
      </c>
      <c r="J7" s="5" t="inlineStr">
        <is>
          <t>WA</t>
        </is>
      </c>
      <c r="K7" s="5" t="inlineStr">
        <is>
          <t>Multifamily</t>
        </is>
      </c>
      <c r="L7" s="5" t="inlineStr">
        <is>
          <t>Apex Funding</t>
        </is>
      </c>
      <c r="M7" s="5" t="inlineStr">
        <is>
          <t>Northgate Servicing</t>
        </is>
      </c>
    </row>
    <row r="8">
      <c r="A8" s="7" t="inlineStr">
        <is>
          <t>L100003</t>
        </is>
      </c>
      <c r="B8" s="8" t="n">
        <v>337458.44</v>
      </c>
      <c r="C8" s="8" t="n">
        <v>333309.77</v>
      </c>
      <c r="D8" s="27" t="n">
        <v>5.994</v>
      </c>
      <c r="E8" s="10" t="n">
        <v>729</v>
      </c>
      <c r="F8" s="12" t="n">
        <v>97</v>
      </c>
      <c r="G8" s="12" t="n">
        <v>40.9</v>
      </c>
      <c r="H8" s="10" t="n">
        <v>12</v>
      </c>
      <c r="I8" s="10" t="n">
        <v>348</v>
      </c>
      <c r="J8" s="7" t="inlineStr">
        <is>
          <t>FL</t>
        </is>
      </c>
      <c r="K8" s="7" t="inlineStr">
        <is>
          <t>SFR</t>
        </is>
      </c>
      <c r="L8" s="7" t="inlineStr">
        <is>
          <t>Meridian Home Loans</t>
        </is>
      </c>
      <c r="M8" s="7" t="inlineStr">
        <is>
          <t>Summit Loan Servicing</t>
        </is>
      </c>
    </row>
    <row r="9">
      <c r="A9" s="5" t="inlineStr">
        <is>
          <t>L100004</t>
        </is>
      </c>
      <c r="B9" s="16" t="n">
        <v>122655.84</v>
      </c>
      <c r="C9" s="16" t="n">
        <v>119103.27</v>
      </c>
      <c r="D9" s="26" t="n">
        <v>6.575</v>
      </c>
      <c r="E9" s="6" t="n">
        <v>638</v>
      </c>
      <c r="F9" s="11" t="n">
        <v>91.2</v>
      </c>
      <c r="G9" s="11" t="n">
        <v>12.1</v>
      </c>
      <c r="H9" s="6" t="n">
        <v>30</v>
      </c>
      <c r="I9" s="6" t="n">
        <v>330</v>
      </c>
      <c r="J9" s="5" t="inlineStr">
        <is>
          <t>NC</t>
        </is>
      </c>
      <c r="K9" s="5" t="inlineStr">
        <is>
          <t>SFR</t>
        </is>
      </c>
      <c r="L9" s="5" t="inlineStr">
        <is>
          <t>Coastal Mortgage Co</t>
        </is>
      </c>
      <c r="M9" s="5" t="inlineStr">
        <is>
          <t>Pier Asset Mgmt</t>
        </is>
      </c>
    </row>
    <row r="10">
      <c r="A10" s="7" t="inlineStr">
        <is>
          <t>L100005</t>
        </is>
      </c>
      <c r="B10" s="8" t="n">
        <v>153927.53</v>
      </c>
      <c r="C10" s="8" t="n">
        <v>129137.16</v>
      </c>
      <c r="D10" s="27" t="n">
        <v>4.722</v>
      </c>
      <c r="E10" s="10" t="n">
        <v>777</v>
      </c>
      <c r="F10" s="12" t="n">
        <v>70.3</v>
      </c>
      <c r="G10" s="12" t="n">
        <v>40.4</v>
      </c>
      <c r="H10" s="10" t="n">
        <v>39</v>
      </c>
      <c r="I10" s="10" t="n">
        <v>141</v>
      </c>
      <c r="J10" s="7" t="inlineStr">
        <is>
          <t>TX</t>
        </is>
      </c>
      <c r="K10" s="7" t="inlineStr">
        <is>
          <t>SFR</t>
        </is>
      </c>
      <c r="L10" s="7" t="inlineStr">
        <is>
          <t>Highline Capital</t>
        </is>
      </c>
      <c r="M10" s="7" t="inlineStr">
        <is>
          <t>Pier Asset Mgmt</t>
        </is>
      </c>
    </row>
    <row r="11">
      <c r="A11" s="5" t="inlineStr">
        <is>
          <t>L100006</t>
        </is>
      </c>
      <c r="B11" s="16" t="n">
        <v>253912.28</v>
      </c>
      <c r="C11" s="16" t="n">
        <v>252984.67</v>
      </c>
      <c r="D11" s="26" t="n">
        <v>6.489</v>
      </c>
      <c r="E11" s="6" t="n">
        <v>710</v>
      </c>
      <c r="F11" s="11" t="n">
        <v>70.2</v>
      </c>
      <c r="G11" s="11" t="n">
        <v>28</v>
      </c>
      <c r="H11" s="6" t="n">
        <v>4</v>
      </c>
      <c r="I11" s="6" t="n">
        <v>356</v>
      </c>
      <c r="J11" s="5" t="inlineStr">
        <is>
          <t>NY</t>
        </is>
      </c>
      <c r="K11" s="5" t="inlineStr">
        <is>
          <t>SFR</t>
        </is>
      </c>
      <c r="L11" s="5" t="inlineStr">
        <is>
          <t>Coastal Mortgage Co</t>
        </is>
      </c>
      <c r="M11" s="5" t="inlineStr">
        <is>
          <t>Summit Loan Servicing</t>
        </is>
      </c>
    </row>
    <row r="12">
      <c r="A12" s="7" t="inlineStr">
        <is>
          <t>L100007</t>
        </is>
      </c>
      <c r="B12" s="8" t="n">
        <v>217361.05</v>
      </c>
      <c r="C12" s="8" t="n">
        <v>210319.52</v>
      </c>
      <c r="D12" s="27" t="n">
        <v>5.685</v>
      </c>
      <c r="E12" s="10" t="n">
        <v>654</v>
      </c>
      <c r="F12" s="12" t="n">
        <v>79.59999999999999</v>
      </c>
      <c r="G12" s="12" t="n">
        <v>24.6</v>
      </c>
      <c r="H12" s="10" t="n">
        <v>9</v>
      </c>
      <c r="I12" s="10" t="n">
        <v>171</v>
      </c>
      <c r="J12" s="7" t="inlineStr">
        <is>
          <t>NC</t>
        </is>
      </c>
      <c r="K12" s="7" t="inlineStr">
        <is>
          <t>SFR</t>
        </is>
      </c>
      <c r="L12" s="7" t="inlineStr">
        <is>
          <t>Coastal Mortgage Co</t>
        </is>
      </c>
      <c r="M12" s="7" t="inlineStr">
        <is>
          <t>Northgate Servicing</t>
        </is>
      </c>
    </row>
    <row r="13">
      <c r="A13" s="5" t="inlineStr">
        <is>
          <t>L100008</t>
        </is>
      </c>
      <c r="B13" s="16" t="n">
        <v>241378.04</v>
      </c>
      <c r="C13" s="16" t="n">
        <v>235259.67</v>
      </c>
      <c r="D13" s="26" t="n">
        <v>6.232</v>
      </c>
      <c r="E13" s="6" t="n">
        <v>780</v>
      </c>
      <c r="F13" s="11" t="n">
        <v>63.9</v>
      </c>
      <c r="G13" s="11" t="n">
        <v>34.5</v>
      </c>
      <c r="H13" s="6" t="n">
        <v>25</v>
      </c>
      <c r="I13" s="6" t="n">
        <v>335</v>
      </c>
      <c r="J13" s="5" t="inlineStr">
        <is>
          <t>FL</t>
        </is>
      </c>
      <c r="K13" s="5" t="inlineStr">
        <is>
          <t>2-4 Unit</t>
        </is>
      </c>
      <c r="L13" s="5" t="inlineStr">
        <is>
          <t>Meridian Home Loans</t>
        </is>
      </c>
      <c r="M13" s="5" t="inlineStr">
        <is>
          <t>Northgate Servicing</t>
        </is>
      </c>
    </row>
    <row r="14">
      <c r="A14" s="7" t="inlineStr">
        <is>
          <t>L100009</t>
        </is>
      </c>
      <c r="B14" s="8" t="n">
        <v>180130.1</v>
      </c>
      <c r="C14" s="8" t="n">
        <v>176245.48</v>
      </c>
      <c r="D14" s="27" t="n">
        <v>4.883</v>
      </c>
      <c r="E14" s="10" t="n">
        <v>749</v>
      </c>
      <c r="F14" s="12" t="n">
        <v>88</v>
      </c>
      <c r="G14" s="12" t="n">
        <v>39.3</v>
      </c>
      <c r="H14" s="10" t="n">
        <v>17</v>
      </c>
      <c r="I14" s="10" t="n">
        <v>343</v>
      </c>
      <c r="J14" s="7" t="inlineStr">
        <is>
          <t>FL</t>
        </is>
      </c>
      <c r="K14" s="7" t="inlineStr">
        <is>
          <t>SFR</t>
        </is>
      </c>
      <c r="L14" s="7" t="inlineStr">
        <is>
          <t>Meridian Home Loans</t>
        </is>
      </c>
      <c r="M14" s="7" t="inlineStr">
        <is>
          <t>Summit Loan Servicing</t>
        </is>
      </c>
    </row>
    <row r="15">
      <c r="A15" s="5" t="inlineStr">
        <is>
          <t>L100010</t>
        </is>
      </c>
      <c r="B15" s="16" t="n">
        <v>330310.79</v>
      </c>
      <c r="C15" s="16" t="n">
        <v>319714.78</v>
      </c>
      <c r="D15" s="26" t="n">
        <v>6.764</v>
      </c>
      <c r="E15" s="6" t="n">
        <v>645</v>
      </c>
      <c r="F15" s="11" t="n">
        <v>78.3</v>
      </c>
      <c r="G15" s="11" t="n">
        <v>22.9</v>
      </c>
      <c r="H15" s="6" t="n">
        <v>34</v>
      </c>
      <c r="I15" s="6" t="n">
        <v>326</v>
      </c>
      <c r="J15" s="5" t="inlineStr">
        <is>
          <t>NY</t>
        </is>
      </c>
      <c r="K15" s="5" t="inlineStr">
        <is>
          <t>SFR</t>
        </is>
      </c>
      <c r="L15" s="5" t="inlineStr">
        <is>
          <t>Highline Capital</t>
        </is>
      </c>
      <c r="M15" s="5" t="inlineStr">
        <is>
          <t>Summit Loan Servicing</t>
        </is>
      </c>
    </row>
    <row r="16">
      <c r="A16" s="7" t="inlineStr">
        <is>
          <t>L100011</t>
        </is>
      </c>
      <c r="B16" s="8" t="n">
        <v>318770.66</v>
      </c>
      <c r="C16" s="8" t="n">
        <v>311042.13</v>
      </c>
      <c r="D16" s="27" t="n">
        <v>4.873</v>
      </c>
      <c r="E16" s="10" t="n">
        <v>813</v>
      </c>
      <c r="F16" s="12" t="n">
        <v>77.09999999999999</v>
      </c>
      <c r="G16" s="12" t="n">
        <v>41.6</v>
      </c>
      <c r="H16" s="10" t="n">
        <v>19</v>
      </c>
      <c r="I16" s="10" t="n">
        <v>341</v>
      </c>
      <c r="J16" s="7" t="inlineStr">
        <is>
          <t>TX</t>
        </is>
      </c>
      <c r="K16" s="7" t="inlineStr">
        <is>
          <t>SFR</t>
        </is>
      </c>
      <c r="L16" s="7" t="inlineStr">
        <is>
          <t>Highline Capital</t>
        </is>
      </c>
      <c r="M16" s="7" t="inlineStr">
        <is>
          <t>Summit Loan Servicing</t>
        </is>
      </c>
    </row>
    <row r="17">
      <c r="A17" s="5" t="inlineStr">
        <is>
          <t>L100012</t>
        </is>
      </c>
      <c r="B17" s="16" t="n">
        <v>248478.29</v>
      </c>
      <c r="C17" s="16" t="n">
        <v>236560.79</v>
      </c>
      <c r="D17" s="26" t="n">
        <v>6.533</v>
      </c>
      <c r="E17" s="6" t="n">
        <v>751</v>
      </c>
      <c r="F17" s="11" t="n">
        <v>82.2</v>
      </c>
      <c r="G17" s="11" t="n">
        <v>42.1</v>
      </c>
      <c r="H17" s="6" t="n">
        <v>47</v>
      </c>
      <c r="I17" s="6" t="n">
        <v>313</v>
      </c>
      <c r="J17" s="5" t="inlineStr">
        <is>
          <t>NC</t>
        </is>
      </c>
      <c r="K17" s="5" t="inlineStr">
        <is>
          <t>SFR</t>
        </is>
      </c>
      <c r="L17" s="5" t="inlineStr">
        <is>
          <t>Meridian Home Loans</t>
        </is>
      </c>
      <c r="M17" s="5" t="inlineStr">
        <is>
          <t>Summit Loan Servicing</t>
        </is>
      </c>
    </row>
    <row r="18">
      <c r="A18" s="7" t="inlineStr">
        <is>
          <t>L100013</t>
        </is>
      </c>
      <c r="B18" s="8" t="n">
        <v>360243.12</v>
      </c>
      <c r="C18" s="8" t="n">
        <v>353904.41</v>
      </c>
      <c r="D18" s="27" t="n">
        <v>5.296</v>
      </c>
      <c r="E18" s="10" t="n">
        <v>714</v>
      </c>
      <c r="F18" s="12" t="n">
        <v>94.7</v>
      </c>
      <c r="G18" s="12" t="n">
        <v>36.4</v>
      </c>
      <c r="H18" s="10" t="n">
        <v>15</v>
      </c>
      <c r="I18" s="10" t="n">
        <v>345</v>
      </c>
      <c r="J18" s="7" t="inlineStr">
        <is>
          <t>TX</t>
        </is>
      </c>
      <c r="K18" s="7" t="inlineStr">
        <is>
          <t>SFR</t>
        </is>
      </c>
      <c r="L18" s="7" t="inlineStr">
        <is>
          <t>Apex Funding</t>
        </is>
      </c>
      <c r="M18" s="7" t="inlineStr">
        <is>
          <t>Summit Loan Servicing</t>
        </is>
      </c>
    </row>
    <row r="19">
      <c r="A19" s="5" t="inlineStr">
        <is>
          <t>L100014</t>
        </is>
      </c>
      <c r="B19" s="16" t="n">
        <v>285966.02</v>
      </c>
      <c r="C19" s="16" t="n">
        <v>280579.14</v>
      </c>
      <c r="D19" s="26" t="n">
        <v>5.635</v>
      </c>
      <c r="E19" s="6" t="n">
        <v>802</v>
      </c>
      <c r="F19" s="11" t="n">
        <v>76.09999999999999</v>
      </c>
      <c r="G19" s="11" t="n">
        <v>29.1</v>
      </c>
      <c r="H19" s="6" t="n">
        <v>17</v>
      </c>
      <c r="I19" s="6" t="n">
        <v>343</v>
      </c>
      <c r="J19" s="5" t="inlineStr">
        <is>
          <t>NY</t>
        </is>
      </c>
      <c r="K19" s="5" t="inlineStr">
        <is>
          <t>SFR</t>
        </is>
      </c>
      <c r="L19" s="5" t="inlineStr">
        <is>
          <t>Apex Funding</t>
        </is>
      </c>
      <c r="M19" s="5" t="inlineStr">
        <is>
          <t>Summit Loan Servicing</t>
        </is>
      </c>
    </row>
    <row r="20">
      <c r="A20" s="7" t="inlineStr">
        <is>
          <t>L100015</t>
        </is>
      </c>
      <c r="B20" s="8" t="n">
        <v>179736.58</v>
      </c>
      <c r="C20" s="8" t="n">
        <v>179601.56</v>
      </c>
      <c r="D20" s="27" t="n">
        <v>7.439</v>
      </c>
      <c r="E20" s="10" t="n">
        <v>724</v>
      </c>
      <c r="F20" s="12" t="n">
        <v>72.59999999999999</v>
      </c>
      <c r="G20" s="12" t="n">
        <v>28.2</v>
      </c>
      <c r="H20" s="10" t="n">
        <v>1</v>
      </c>
      <c r="I20" s="10" t="n">
        <v>359</v>
      </c>
      <c r="J20" s="7" t="inlineStr">
        <is>
          <t>NY</t>
        </is>
      </c>
      <c r="K20" s="7" t="inlineStr">
        <is>
          <t>SFR</t>
        </is>
      </c>
      <c r="L20" s="7" t="inlineStr">
        <is>
          <t>Highline Capital</t>
        </is>
      </c>
      <c r="M20" s="7" t="inlineStr">
        <is>
          <t>Northgate Servicing</t>
        </is>
      </c>
    </row>
    <row r="21">
      <c r="A21" s="5" t="inlineStr">
        <is>
          <t>L100016</t>
        </is>
      </c>
      <c r="B21" s="16" t="n">
        <v>276250.34</v>
      </c>
      <c r="C21" s="16" t="n">
        <v>273405.55</v>
      </c>
      <c r="D21" s="26" t="n">
        <v>6.929</v>
      </c>
      <c r="E21" s="6" t="n">
        <v>713</v>
      </c>
      <c r="F21" s="11" t="n">
        <v>92.09999999999999</v>
      </c>
      <c r="G21" s="11" t="n">
        <v>44.2</v>
      </c>
      <c r="H21" s="6" t="n">
        <v>12</v>
      </c>
      <c r="I21" s="6" t="n">
        <v>348</v>
      </c>
      <c r="J21" s="5" t="inlineStr">
        <is>
          <t>WA</t>
        </is>
      </c>
      <c r="K21" s="5" t="inlineStr">
        <is>
          <t>Condo</t>
        </is>
      </c>
      <c r="L21" s="5" t="inlineStr">
        <is>
          <t>Apex Funding</t>
        </is>
      </c>
      <c r="M21" s="5" t="inlineStr">
        <is>
          <t>Northgate Servicing</t>
        </is>
      </c>
    </row>
    <row r="22">
      <c r="A22" s="7" t="inlineStr">
        <is>
          <t>L100017</t>
        </is>
      </c>
      <c r="B22" s="8" t="n">
        <v>173579.52</v>
      </c>
      <c r="C22" s="8" t="n">
        <v>171958.63</v>
      </c>
      <c r="D22" s="27" t="n">
        <v>7.434</v>
      </c>
      <c r="E22" s="10" t="n">
        <v>679</v>
      </c>
      <c r="F22" s="12" t="n">
        <v>85.59999999999999</v>
      </c>
      <c r="G22" s="12" t="n">
        <v>23.9</v>
      </c>
      <c r="H22" s="10" t="n">
        <v>12</v>
      </c>
      <c r="I22" s="10" t="n">
        <v>348</v>
      </c>
      <c r="J22" s="7" t="inlineStr">
        <is>
          <t>WA</t>
        </is>
      </c>
      <c r="K22" s="7" t="inlineStr">
        <is>
          <t>SFR</t>
        </is>
      </c>
      <c r="L22" s="7" t="inlineStr">
        <is>
          <t>Highline Capital</t>
        </is>
      </c>
      <c r="M22" s="7" t="inlineStr">
        <is>
          <t>Summit Loan Servicing</t>
        </is>
      </c>
    </row>
    <row r="23">
      <c r="A23" s="5" t="inlineStr">
        <is>
          <t>L100018</t>
        </is>
      </c>
      <c r="B23" s="16" t="n">
        <v>330201.25</v>
      </c>
      <c r="C23" s="16" t="n">
        <v>320884.28</v>
      </c>
      <c r="D23" s="26" t="n">
        <v>7.804</v>
      </c>
      <c r="E23" s="6" t="n">
        <v>747</v>
      </c>
      <c r="F23" s="11" t="n">
        <v>70.09999999999999</v>
      </c>
      <c r="G23" s="11" t="n">
        <v>44.5</v>
      </c>
      <c r="H23" s="6" t="n">
        <v>36</v>
      </c>
      <c r="I23" s="6" t="n">
        <v>324</v>
      </c>
      <c r="J23" s="5" t="inlineStr">
        <is>
          <t>CA</t>
        </is>
      </c>
      <c r="K23" s="5" t="inlineStr">
        <is>
          <t>Condo</t>
        </is>
      </c>
      <c r="L23" s="5" t="inlineStr">
        <is>
          <t>Meridian Home Loans</t>
        </is>
      </c>
      <c r="M23" s="5" t="inlineStr">
        <is>
          <t>Summit Loan Servicing</t>
        </is>
      </c>
    </row>
    <row r="24">
      <c r="A24" s="7" t="inlineStr">
        <is>
          <t>L100019</t>
        </is>
      </c>
      <c r="B24" s="8" t="n">
        <v>238595.74</v>
      </c>
      <c r="C24" s="8" t="n">
        <v>234428.53</v>
      </c>
      <c r="D24" s="27" t="n">
        <v>5.704</v>
      </c>
      <c r="E24" s="10" t="n">
        <v>741</v>
      </c>
      <c r="F24" s="12" t="n">
        <v>74.09999999999999</v>
      </c>
      <c r="G24" s="12" t="n">
        <v>34.7</v>
      </c>
      <c r="H24" s="10" t="n">
        <v>16</v>
      </c>
      <c r="I24" s="10" t="n">
        <v>344</v>
      </c>
      <c r="J24" s="7" t="inlineStr">
        <is>
          <t>TX</t>
        </is>
      </c>
      <c r="K24" s="7" t="inlineStr">
        <is>
          <t>SFR</t>
        </is>
      </c>
      <c r="L24" s="7" t="inlineStr">
        <is>
          <t>Meridian Home Loans</t>
        </is>
      </c>
      <c r="M24" s="7" t="inlineStr">
        <is>
          <t>Northgate Servicing</t>
        </is>
      </c>
    </row>
    <row r="25">
      <c r="A25" s="5" t="inlineStr">
        <is>
          <t>L100020</t>
        </is>
      </c>
      <c r="B25" s="16" t="n">
        <v>227589.35</v>
      </c>
      <c r="C25" s="16" t="n">
        <v>225935.22</v>
      </c>
      <c r="D25" s="26" t="n">
        <v>7.749</v>
      </c>
      <c r="E25" s="6" t="n">
        <v>716</v>
      </c>
      <c r="F25" s="11" t="n">
        <v>76.3</v>
      </c>
      <c r="G25" s="11" t="n">
        <v>35.2</v>
      </c>
      <c r="H25" s="6" t="n">
        <v>10</v>
      </c>
      <c r="I25" s="6" t="n">
        <v>350</v>
      </c>
      <c r="J25" s="5" t="inlineStr">
        <is>
          <t>AZ</t>
        </is>
      </c>
      <c r="K25" s="5" t="inlineStr">
        <is>
          <t>2-4 Unit</t>
        </is>
      </c>
      <c r="L25" s="5" t="inlineStr">
        <is>
          <t>Coastal Mortgage Co</t>
        </is>
      </c>
      <c r="M25" s="5" t="inlineStr">
        <is>
          <t>Pier Asset Mgmt</t>
        </is>
      </c>
    </row>
    <row r="26">
      <c r="A26" s="7" t="inlineStr">
        <is>
          <t>L100021</t>
        </is>
      </c>
      <c r="B26" s="8" t="n">
        <v>191314.64</v>
      </c>
      <c r="C26" s="8" t="n">
        <v>180328.73</v>
      </c>
      <c r="D26" s="27" t="n">
        <v>5.081</v>
      </c>
      <c r="E26" s="10" t="n">
        <v>672</v>
      </c>
      <c r="F26" s="12" t="n">
        <v>78.3</v>
      </c>
      <c r="G26" s="12" t="n">
        <v>22.3</v>
      </c>
      <c r="H26" s="10" t="n">
        <v>15</v>
      </c>
      <c r="I26" s="10" t="n">
        <v>165</v>
      </c>
      <c r="J26" s="7" t="inlineStr">
        <is>
          <t>FL</t>
        </is>
      </c>
      <c r="K26" s="7" t="inlineStr">
        <is>
          <t>Multifamily</t>
        </is>
      </c>
      <c r="L26" s="7" t="inlineStr">
        <is>
          <t>Coastal Mortgage Co</t>
        </is>
      </c>
      <c r="M26" s="7" t="inlineStr">
        <is>
          <t>Pier Asset Mgmt</t>
        </is>
      </c>
    </row>
    <row r="27">
      <c r="A27" s="5" t="inlineStr">
        <is>
          <t>L100022</t>
        </is>
      </c>
      <c r="B27" s="16" t="n">
        <v>372461.69</v>
      </c>
      <c r="C27" s="16" t="n">
        <v>363678.94</v>
      </c>
      <c r="D27" s="26" t="n">
        <v>7.071</v>
      </c>
      <c r="E27" s="6" t="n">
        <v>722</v>
      </c>
      <c r="F27" s="11" t="n">
        <v>57.7</v>
      </c>
      <c r="G27" s="11" t="n">
        <v>34.8</v>
      </c>
      <c r="H27" s="6" t="n">
        <v>27</v>
      </c>
      <c r="I27" s="6" t="n">
        <v>333</v>
      </c>
      <c r="J27" s="5" t="inlineStr">
        <is>
          <t>NC</t>
        </is>
      </c>
      <c r="K27" s="5" t="inlineStr">
        <is>
          <t>SFR</t>
        </is>
      </c>
      <c r="L27" s="5" t="inlineStr">
        <is>
          <t>Highline Capital</t>
        </is>
      </c>
      <c r="M27" s="5" t="inlineStr">
        <is>
          <t>Pier Asset Mgmt</t>
        </is>
      </c>
    </row>
    <row r="28">
      <c r="A28" s="7" t="inlineStr">
        <is>
          <t>L100023</t>
        </is>
      </c>
      <c r="B28" s="8" t="n">
        <v>230018.42</v>
      </c>
      <c r="C28" s="8" t="n">
        <v>220664.99</v>
      </c>
      <c r="D28" s="27" t="n">
        <v>5.956</v>
      </c>
      <c r="E28" s="10" t="n">
        <v>711</v>
      </c>
      <c r="F28" s="12" t="n">
        <v>55.5</v>
      </c>
      <c r="G28" s="12" t="n">
        <v>40.9</v>
      </c>
      <c r="H28" s="10" t="n">
        <v>37</v>
      </c>
      <c r="I28" s="10" t="n">
        <v>323</v>
      </c>
      <c r="J28" s="7" t="inlineStr">
        <is>
          <t>WA</t>
        </is>
      </c>
      <c r="K28" s="7" t="inlineStr">
        <is>
          <t>SFR</t>
        </is>
      </c>
      <c r="L28" s="7" t="inlineStr">
        <is>
          <t>Coastal Mortgage Co</t>
        </is>
      </c>
      <c r="M28" s="7" t="inlineStr">
        <is>
          <t>Summit Loan Servicing</t>
        </is>
      </c>
    </row>
    <row r="29">
      <c r="A29" s="5" t="inlineStr">
        <is>
          <t>L100024</t>
        </is>
      </c>
      <c r="B29" s="16" t="n">
        <v>208999.11</v>
      </c>
      <c r="C29" s="16" t="n">
        <v>197158.3</v>
      </c>
      <c r="D29" s="26" t="n">
        <v>5.563</v>
      </c>
      <c r="E29" s="6" t="n">
        <v>642</v>
      </c>
      <c r="F29" s="11" t="n">
        <v>63.4</v>
      </c>
      <c r="G29" s="11" t="n">
        <v>25.3</v>
      </c>
      <c r="H29" s="6" t="n">
        <v>47</v>
      </c>
      <c r="I29" s="6" t="n">
        <v>313</v>
      </c>
      <c r="J29" s="5" t="inlineStr">
        <is>
          <t>TX</t>
        </is>
      </c>
      <c r="K29" s="5" t="inlineStr">
        <is>
          <t>SFR</t>
        </is>
      </c>
      <c r="L29" s="5" t="inlineStr">
        <is>
          <t>Coastal Mortgage Co</t>
        </is>
      </c>
      <c r="M29" s="5" t="inlineStr">
        <is>
          <t>Pier Asset Mgmt</t>
        </is>
      </c>
    </row>
    <row r="30">
      <c r="A30" s="7" t="inlineStr">
        <is>
          <t>L100025</t>
        </is>
      </c>
      <c r="B30" s="8" t="n">
        <v>214647.68</v>
      </c>
      <c r="C30" s="8" t="n">
        <v>214111.84</v>
      </c>
      <c r="D30" s="27" t="n">
        <v>6.953</v>
      </c>
      <c r="E30" s="10" t="n">
        <v>634</v>
      </c>
      <c r="F30" s="12" t="n">
        <v>62.4</v>
      </c>
      <c r="G30" s="12" t="n">
        <v>40</v>
      </c>
      <c r="H30" s="10" t="n">
        <v>3</v>
      </c>
      <c r="I30" s="10" t="n">
        <v>357</v>
      </c>
      <c r="J30" s="7" t="inlineStr">
        <is>
          <t>WA</t>
        </is>
      </c>
      <c r="K30" s="7" t="inlineStr">
        <is>
          <t>2-4 Unit</t>
        </is>
      </c>
      <c r="L30" s="7" t="inlineStr">
        <is>
          <t>Apex Funding</t>
        </is>
      </c>
      <c r="M30" s="7" t="inlineStr">
        <is>
          <t>Summit Loan Servicing</t>
        </is>
      </c>
    </row>
    <row r="31">
      <c r="A31" s="5" t="inlineStr">
        <is>
          <t>L100026</t>
        </is>
      </c>
      <c r="B31" s="16" t="n">
        <v>292525.82</v>
      </c>
      <c r="C31" s="16" t="n">
        <v>282235.4</v>
      </c>
      <c r="D31" s="26" t="n">
        <v>7.25</v>
      </c>
      <c r="E31" s="6" t="n">
        <v>746</v>
      </c>
      <c r="F31" s="11" t="n">
        <v>66.3</v>
      </c>
      <c r="G31" s="11" t="n">
        <v>36.7</v>
      </c>
      <c r="H31" s="6" t="n">
        <v>40</v>
      </c>
      <c r="I31" s="6" t="n">
        <v>320</v>
      </c>
      <c r="J31" s="5" t="inlineStr">
        <is>
          <t>CA</t>
        </is>
      </c>
      <c r="K31" s="5" t="inlineStr">
        <is>
          <t>SFR</t>
        </is>
      </c>
      <c r="L31" s="5" t="inlineStr">
        <is>
          <t>Highline Capital</t>
        </is>
      </c>
      <c r="M31" s="5" t="inlineStr">
        <is>
          <t>Summit Loan Servicing</t>
        </is>
      </c>
    </row>
    <row r="32">
      <c r="A32" s="7" t="inlineStr">
        <is>
          <t>L100027</t>
        </is>
      </c>
      <c r="B32" s="8" t="n">
        <v>275930.81</v>
      </c>
      <c r="C32" s="8" t="n">
        <v>271589.31</v>
      </c>
      <c r="D32" s="27" t="n">
        <v>7.224</v>
      </c>
      <c r="E32" s="10" t="n">
        <v>580</v>
      </c>
      <c r="F32" s="12" t="n">
        <v>81.59999999999999</v>
      </c>
      <c r="G32" s="12" t="n">
        <v>30.8</v>
      </c>
      <c r="H32" s="10" t="n">
        <v>19</v>
      </c>
      <c r="I32" s="10" t="n">
        <v>341</v>
      </c>
      <c r="J32" s="7" t="inlineStr">
        <is>
          <t>FL</t>
        </is>
      </c>
      <c r="K32" s="7" t="inlineStr">
        <is>
          <t>SFR</t>
        </is>
      </c>
      <c r="L32" s="7" t="inlineStr">
        <is>
          <t>Meridian Home Loans</t>
        </is>
      </c>
      <c r="M32" s="7" t="inlineStr">
        <is>
          <t>Summit Loan Servicing</t>
        </is>
      </c>
    </row>
    <row r="33">
      <c r="A33" s="5" t="inlineStr">
        <is>
          <t>L100028</t>
        </is>
      </c>
      <c r="B33" s="16" t="n">
        <v>280535.74</v>
      </c>
      <c r="C33" s="16" t="n">
        <v>270042.93</v>
      </c>
      <c r="D33" s="26" t="n">
        <v>6.593</v>
      </c>
      <c r="E33" s="6" t="n">
        <v>726</v>
      </c>
      <c r="F33" s="11" t="n">
        <v>72</v>
      </c>
      <c r="G33" s="11" t="n">
        <v>42.8</v>
      </c>
      <c r="H33" s="6" t="n">
        <v>38</v>
      </c>
      <c r="I33" s="6" t="n">
        <v>322</v>
      </c>
      <c r="J33" s="5" t="inlineStr">
        <is>
          <t>GA</t>
        </is>
      </c>
      <c r="K33" s="5" t="inlineStr">
        <is>
          <t>SFR</t>
        </is>
      </c>
      <c r="L33" s="5" t="inlineStr">
        <is>
          <t>Apex Funding</t>
        </is>
      </c>
      <c r="M33" s="5" t="inlineStr">
        <is>
          <t>Summit Loan Servicing</t>
        </is>
      </c>
    </row>
    <row r="34">
      <c r="A34" s="7" t="inlineStr">
        <is>
          <t>L100029</t>
        </is>
      </c>
      <c r="B34" s="8" t="n">
        <v>282317.43</v>
      </c>
      <c r="C34" s="8" t="n">
        <v>281807.49</v>
      </c>
      <c r="D34" s="27" t="n">
        <v>6.519</v>
      </c>
      <c r="E34" s="10" t="n">
        <v>689</v>
      </c>
      <c r="F34" s="12" t="n">
        <v>76.40000000000001</v>
      </c>
      <c r="G34" s="12" t="n">
        <v>18.4</v>
      </c>
      <c r="H34" s="10" t="n">
        <v>2</v>
      </c>
      <c r="I34" s="10" t="n">
        <v>358</v>
      </c>
      <c r="J34" s="7" t="inlineStr">
        <is>
          <t>OH</t>
        </is>
      </c>
      <c r="K34" s="7" t="inlineStr">
        <is>
          <t>SFR</t>
        </is>
      </c>
      <c r="L34" s="7" t="inlineStr">
        <is>
          <t>Coastal Mortgage Co</t>
        </is>
      </c>
      <c r="M34" s="7" t="inlineStr">
        <is>
          <t>Northgate Servicing</t>
        </is>
      </c>
    </row>
    <row r="35">
      <c r="A35" s="5" t="inlineStr">
        <is>
          <t>L100030</t>
        </is>
      </c>
      <c r="B35" s="16" t="n">
        <v>513793.47</v>
      </c>
      <c r="C35" s="16" t="n">
        <v>460318.09</v>
      </c>
      <c r="D35" s="26" t="n">
        <v>6.874</v>
      </c>
      <c r="E35" s="6" t="n">
        <v>787</v>
      </c>
      <c r="F35" s="11" t="n">
        <v>59.3</v>
      </c>
      <c r="G35" s="11" t="n">
        <v>38.8</v>
      </c>
      <c r="H35" s="6" t="n">
        <v>30</v>
      </c>
      <c r="I35" s="6" t="n">
        <v>150</v>
      </c>
      <c r="J35" s="5" t="inlineStr">
        <is>
          <t>GA</t>
        </is>
      </c>
      <c r="K35" s="5" t="inlineStr">
        <is>
          <t>Condo</t>
        </is>
      </c>
      <c r="L35" s="5" t="inlineStr">
        <is>
          <t>Meridian Home Loans</t>
        </is>
      </c>
      <c r="M35" s="5" t="inlineStr">
        <is>
          <t>Summit Loan Servicing</t>
        </is>
      </c>
    </row>
    <row r="36">
      <c r="A36" s="7" t="inlineStr">
        <is>
          <t>L100031</t>
        </is>
      </c>
      <c r="B36" s="8" t="n">
        <v>210608.19</v>
      </c>
      <c r="C36" s="8" t="n">
        <v>176639.23</v>
      </c>
      <c r="D36" s="27" t="n">
        <v>6.673</v>
      </c>
      <c r="E36" s="10" t="n">
        <v>688</v>
      </c>
      <c r="F36" s="12" t="n">
        <v>68.5</v>
      </c>
      <c r="G36" s="12" t="n">
        <v>49</v>
      </c>
      <c r="H36" s="10" t="n">
        <v>44</v>
      </c>
      <c r="I36" s="10" t="n">
        <v>136</v>
      </c>
      <c r="J36" s="7" t="inlineStr">
        <is>
          <t>TX</t>
        </is>
      </c>
      <c r="K36" s="7" t="inlineStr">
        <is>
          <t>SFR</t>
        </is>
      </c>
      <c r="L36" s="7" t="inlineStr">
        <is>
          <t>Highline Capital</t>
        </is>
      </c>
      <c r="M36" s="7" t="inlineStr">
        <is>
          <t>Pier Asset Mgmt</t>
        </is>
      </c>
    </row>
    <row r="37">
      <c r="A37" s="5" t="inlineStr">
        <is>
          <t>L100032</t>
        </is>
      </c>
      <c r="B37" s="16" t="n">
        <v>202950.02</v>
      </c>
      <c r="C37" s="16" t="n">
        <v>202608.85</v>
      </c>
      <c r="D37" s="26" t="n">
        <v>6.887</v>
      </c>
      <c r="E37" s="6" t="n">
        <v>751</v>
      </c>
      <c r="F37" s="11" t="n">
        <v>81</v>
      </c>
      <c r="G37" s="11" t="n">
        <v>47.5</v>
      </c>
      <c r="H37" s="6" t="n">
        <v>2</v>
      </c>
      <c r="I37" s="6" t="n">
        <v>358</v>
      </c>
      <c r="J37" s="5" t="inlineStr">
        <is>
          <t>FL</t>
        </is>
      </c>
      <c r="K37" s="5" t="inlineStr">
        <is>
          <t>2-4 Unit</t>
        </is>
      </c>
      <c r="L37" s="5" t="inlineStr">
        <is>
          <t>Highline Capital</t>
        </is>
      </c>
      <c r="M37" s="5" t="inlineStr">
        <is>
          <t>Pier Asset Mgmt</t>
        </is>
      </c>
    </row>
    <row r="38">
      <c r="A38" s="7" t="inlineStr">
        <is>
          <t>L100033</t>
        </is>
      </c>
      <c r="B38" s="8" t="n">
        <v>182623.06</v>
      </c>
      <c r="C38" s="8" t="n">
        <v>175781.45</v>
      </c>
      <c r="D38" s="27" t="n">
        <v>6.584</v>
      </c>
      <c r="E38" s="10" t="n">
        <v>693</v>
      </c>
      <c r="F38" s="12" t="n">
        <v>81.09999999999999</v>
      </c>
      <c r="G38" s="12" t="n">
        <v>39.1</v>
      </c>
      <c r="H38" s="10" t="n">
        <v>38</v>
      </c>
      <c r="I38" s="10" t="n">
        <v>322</v>
      </c>
      <c r="J38" s="7" t="inlineStr">
        <is>
          <t>AZ</t>
        </is>
      </c>
      <c r="K38" s="7" t="inlineStr">
        <is>
          <t>2-4 Unit</t>
        </is>
      </c>
      <c r="L38" s="7" t="inlineStr">
        <is>
          <t>Meridian Home Loans</t>
        </is>
      </c>
      <c r="M38" s="7" t="inlineStr">
        <is>
          <t>Northgate Servicing</t>
        </is>
      </c>
    </row>
    <row r="39">
      <c r="A39" s="5" t="inlineStr">
        <is>
          <t>L100034</t>
        </is>
      </c>
      <c r="B39" s="16" t="n">
        <v>301218.98</v>
      </c>
      <c r="C39" s="16" t="n">
        <v>295510.84</v>
      </c>
      <c r="D39" s="26" t="n">
        <v>7.159</v>
      </c>
      <c r="E39" s="6" t="n">
        <v>721</v>
      </c>
      <c r="F39" s="11" t="n">
        <v>65.3</v>
      </c>
      <c r="G39" s="11" t="n">
        <v>33.6</v>
      </c>
      <c r="H39" s="6" t="n">
        <v>6</v>
      </c>
      <c r="I39" s="6" t="n">
        <v>174</v>
      </c>
      <c r="J39" s="5" t="inlineStr">
        <is>
          <t>GA</t>
        </is>
      </c>
      <c r="K39" s="5" t="inlineStr">
        <is>
          <t>SFR</t>
        </is>
      </c>
      <c r="L39" s="5" t="inlineStr">
        <is>
          <t>Highline Capital</t>
        </is>
      </c>
      <c r="M39" s="5" t="inlineStr">
        <is>
          <t>Summit Loan Servicing</t>
        </is>
      </c>
    </row>
    <row r="40">
      <c r="A40" s="7" t="inlineStr">
        <is>
          <t>L100035</t>
        </is>
      </c>
      <c r="B40" s="8" t="n">
        <v>360461.45</v>
      </c>
      <c r="C40" s="8" t="n">
        <v>337788.51</v>
      </c>
      <c r="D40" s="27" t="n">
        <v>4.936</v>
      </c>
      <c r="E40" s="10" t="n">
        <v>756</v>
      </c>
      <c r="F40" s="12" t="n">
        <v>75.90000000000001</v>
      </c>
      <c r="G40" s="12" t="n">
        <v>30.9</v>
      </c>
      <c r="H40" s="10" t="n">
        <v>47</v>
      </c>
      <c r="I40" s="10" t="n">
        <v>313</v>
      </c>
      <c r="J40" s="7" t="inlineStr">
        <is>
          <t>CA</t>
        </is>
      </c>
      <c r="K40" s="7" t="inlineStr">
        <is>
          <t>SFR</t>
        </is>
      </c>
      <c r="L40" s="7" t="inlineStr">
        <is>
          <t>Apex Funding</t>
        </is>
      </c>
      <c r="M40" s="7" t="inlineStr">
        <is>
          <t>Pier Asset Mgmt</t>
        </is>
      </c>
    </row>
    <row r="41">
      <c r="A41" s="5" t="inlineStr">
        <is>
          <t>L100036</t>
        </is>
      </c>
      <c r="B41" s="16" t="n">
        <v>233308.85</v>
      </c>
      <c r="C41" s="16" t="n">
        <v>224882.03</v>
      </c>
      <c r="D41" s="26" t="n">
        <v>6.282</v>
      </c>
      <c r="E41" s="6" t="n">
        <v>690</v>
      </c>
      <c r="F41" s="11" t="n">
        <v>97</v>
      </c>
      <c r="G41" s="11" t="n">
        <v>33.6</v>
      </c>
      <c r="H41" s="6" t="n">
        <v>35</v>
      </c>
      <c r="I41" s="6" t="n">
        <v>325</v>
      </c>
      <c r="J41" s="5" t="inlineStr">
        <is>
          <t>GA</t>
        </is>
      </c>
      <c r="K41" s="5" t="inlineStr">
        <is>
          <t>2-4 Unit</t>
        </is>
      </c>
      <c r="L41" s="5" t="inlineStr">
        <is>
          <t>Apex Funding</t>
        </is>
      </c>
      <c r="M41" s="5" t="inlineStr">
        <is>
          <t>Summit Loan Servicing</t>
        </is>
      </c>
    </row>
    <row r="42">
      <c r="A42" s="7" t="inlineStr">
        <is>
          <t>L100037</t>
        </is>
      </c>
      <c r="B42" s="8" t="n">
        <v>180944.43</v>
      </c>
      <c r="C42" s="8" t="n">
        <v>170990.75</v>
      </c>
      <c r="D42" s="27" t="n">
        <v>5.155</v>
      </c>
      <c r="E42" s="10" t="n">
        <v>770</v>
      </c>
      <c r="F42" s="12" t="n">
        <v>73.8</v>
      </c>
      <c r="G42" s="12" t="n">
        <v>40.4</v>
      </c>
      <c r="H42" s="10" t="n">
        <v>43</v>
      </c>
      <c r="I42" s="10" t="n">
        <v>317</v>
      </c>
      <c r="J42" s="7" t="inlineStr">
        <is>
          <t>IL</t>
        </is>
      </c>
      <c r="K42" s="7" t="inlineStr">
        <is>
          <t>2-4 Unit</t>
        </is>
      </c>
      <c r="L42" s="7" t="inlineStr">
        <is>
          <t>Coastal Mortgage Co</t>
        </is>
      </c>
      <c r="M42" s="7" t="inlineStr">
        <is>
          <t>Pier Asset Mgmt</t>
        </is>
      </c>
    </row>
    <row r="43">
      <c r="A43" s="5" t="inlineStr">
        <is>
          <t>L100038</t>
        </is>
      </c>
      <c r="B43" s="16" t="n">
        <v>181939.88</v>
      </c>
      <c r="C43" s="16" t="n">
        <v>174206.29</v>
      </c>
      <c r="D43" s="26" t="n">
        <v>6.649</v>
      </c>
      <c r="E43" s="6" t="n">
        <v>660</v>
      </c>
      <c r="F43" s="11" t="n">
        <v>65.7</v>
      </c>
      <c r="G43" s="11" t="n">
        <v>29.5</v>
      </c>
      <c r="H43" s="6" t="n">
        <v>43</v>
      </c>
      <c r="I43" s="6" t="n">
        <v>317</v>
      </c>
      <c r="J43" s="5" t="inlineStr">
        <is>
          <t>CA</t>
        </is>
      </c>
      <c r="K43" s="5" t="inlineStr">
        <is>
          <t>2-4 Unit</t>
        </is>
      </c>
      <c r="L43" s="5" t="inlineStr">
        <is>
          <t>Coastal Mortgage Co</t>
        </is>
      </c>
      <c r="M43" s="5" t="inlineStr">
        <is>
          <t>Pier Asset Mgmt</t>
        </is>
      </c>
    </row>
    <row r="44">
      <c r="A44" s="7" t="inlineStr">
        <is>
          <t>L100039</t>
        </is>
      </c>
      <c r="B44" s="8" t="n">
        <v>304890.35</v>
      </c>
      <c r="C44" s="8" t="n">
        <v>301596.16</v>
      </c>
      <c r="D44" s="27" t="n">
        <v>7.878</v>
      </c>
      <c r="E44" s="10" t="n">
        <v>731</v>
      </c>
      <c r="F44" s="12" t="n">
        <v>71.90000000000001</v>
      </c>
      <c r="G44" s="12" t="n">
        <v>42.1</v>
      </c>
      <c r="H44" s="10" t="n">
        <v>15</v>
      </c>
      <c r="I44" s="10" t="n">
        <v>345</v>
      </c>
      <c r="J44" s="7" t="inlineStr">
        <is>
          <t>FL</t>
        </is>
      </c>
      <c r="K44" s="7" t="inlineStr">
        <is>
          <t>Multifamily</t>
        </is>
      </c>
      <c r="L44" s="7" t="inlineStr">
        <is>
          <t>Meridian Home Loans</t>
        </is>
      </c>
      <c r="M44" s="7" t="inlineStr">
        <is>
          <t>Summit Loan Servicing</t>
        </is>
      </c>
    </row>
    <row r="45">
      <c r="A45" s="5" t="inlineStr">
        <is>
          <t>L100040</t>
        </is>
      </c>
      <c r="B45" s="16" t="n">
        <v>314940.48</v>
      </c>
      <c r="C45" s="16" t="n">
        <v>292173.87</v>
      </c>
      <c r="D45" s="26" t="n">
        <v>5.973</v>
      </c>
      <c r="E45" s="6" t="n">
        <v>766</v>
      </c>
      <c r="F45" s="11" t="n">
        <v>75.09999999999999</v>
      </c>
      <c r="G45" s="11" t="n">
        <v>53.1</v>
      </c>
      <c r="H45" s="6" t="n">
        <v>20</v>
      </c>
      <c r="I45" s="6" t="n">
        <v>160</v>
      </c>
      <c r="J45" s="5" t="inlineStr">
        <is>
          <t>WA</t>
        </is>
      </c>
      <c r="K45" s="5" t="inlineStr">
        <is>
          <t>SFR</t>
        </is>
      </c>
      <c r="L45" s="5" t="inlineStr">
        <is>
          <t>Meridian Home Loans</t>
        </is>
      </c>
      <c r="M45" s="5" t="inlineStr">
        <is>
          <t>Summit Loan Servicing</t>
        </is>
      </c>
    </row>
    <row r="46">
      <c r="A46" s="7" t="inlineStr">
        <is>
          <t>L100041</t>
        </is>
      </c>
      <c r="B46" s="8" t="n">
        <v>293638.29</v>
      </c>
      <c r="C46" s="8" t="n">
        <v>284100.76</v>
      </c>
      <c r="D46" s="27" t="n">
        <v>6.515</v>
      </c>
      <c r="E46" s="10" t="n">
        <v>751</v>
      </c>
      <c r="F46" s="12" t="n">
        <v>72.2</v>
      </c>
      <c r="G46" s="12" t="n">
        <v>35.5</v>
      </c>
      <c r="H46" s="10" t="n">
        <v>33</v>
      </c>
      <c r="I46" s="10" t="n">
        <v>327</v>
      </c>
      <c r="J46" s="7" t="inlineStr">
        <is>
          <t>AZ</t>
        </is>
      </c>
      <c r="K46" s="7" t="inlineStr">
        <is>
          <t>Condo</t>
        </is>
      </c>
      <c r="L46" s="7" t="inlineStr">
        <is>
          <t>Meridian Home Loans</t>
        </is>
      </c>
      <c r="M46" s="7" t="inlineStr">
        <is>
          <t>Pier Asset Mgmt</t>
        </is>
      </c>
    </row>
    <row r="47">
      <c r="A47" s="5" t="inlineStr">
        <is>
          <t>L100042</t>
        </is>
      </c>
      <c r="B47" s="16" t="n">
        <v>192349.94</v>
      </c>
      <c r="C47" s="16" t="n">
        <v>186796.82</v>
      </c>
      <c r="D47" s="26" t="n">
        <v>7.081</v>
      </c>
      <c r="E47" s="6" t="n">
        <v>820</v>
      </c>
      <c r="F47" s="11" t="n">
        <v>73.59999999999999</v>
      </c>
      <c r="G47" s="11" t="n">
        <v>25.2</v>
      </c>
      <c r="H47" s="6" t="n">
        <v>9</v>
      </c>
      <c r="I47" s="6" t="n">
        <v>171</v>
      </c>
      <c r="J47" s="5" t="inlineStr">
        <is>
          <t>CA</t>
        </is>
      </c>
      <c r="K47" s="5" t="inlineStr">
        <is>
          <t>Condo</t>
        </is>
      </c>
      <c r="L47" s="5" t="inlineStr">
        <is>
          <t>Apex Funding</t>
        </is>
      </c>
      <c r="M47" s="5" t="inlineStr">
        <is>
          <t>Pier Asset Mgmt</t>
        </is>
      </c>
    </row>
    <row r="48">
      <c r="A48" s="7" t="inlineStr">
        <is>
          <t>L100043</t>
        </is>
      </c>
      <c r="B48" s="8" t="n">
        <v>263354.54</v>
      </c>
      <c r="C48" s="8" t="n">
        <v>247584.81</v>
      </c>
      <c r="D48" s="27" t="n">
        <v>4.539</v>
      </c>
      <c r="E48" s="10" t="n">
        <v>673</v>
      </c>
      <c r="F48" s="12" t="n">
        <v>56.7</v>
      </c>
      <c r="G48" s="12" t="n">
        <v>25.2</v>
      </c>
      <c r="H48" s="10" t="n">
        <v>15</v>
      </c>
      <c r="I48" s="10" t="n">
        <v>165</v>
      </c>
      <c r="J48" s="7" t="inlineStr">
        <is>
          <t>CA</t>
        </is>
      </c>
      <c r="K48" s="7" t="inlineStr">
        <is>
          <t>SFR</t>
        </is>
      </c>
      <c r="L48" s="7" t="inlineStr">
        <is>
          <t>Meridian Home Loans</t>
        </is>
      </c>
      <c r="M48" s="7" t="inlineStr">
        <is>
          <t>Northgate Servicing</t>
        </is>
      </c>
    </row>
    <row r="49">
      <c r="A49" s="5" t="inlineStr">
        <is>
          <t>L100044</t>
        </is>
      </c>
      <c r="B49" s="16" t="n">
        <v>252922.91</v>
      </c>
      <c r="C49" s="16" t="n">
        <v>251634.36</v>
      </c>
      <c r="D49" s="26" t="n">
        <v>5.93</v>
      </c>
      <c r="E49" s="6" t="n">
        <v>639</v>
      </c>
      <c r="F49" s="11" t="n">
        <v>62.4</v>
      </c>
      <c r="G49" s="11" t="n">
        <v>42.2</v>
      </c>
      <c r="H49" s="6" t="n">
        <v>5</v>
      </c>
      <c r="I49" s="6" t="n">
        <v>355</v>
      </c>
      <c r="J49" s="5" t="inlineStr">
        <is>
          <t>NY</t>
        </is>
      </c>
      <c r="K49" s="5" t="inlineStr">
        <is>
          <t>SFR</t>
        </is>
      </c>
      <c r="L49" s="5" t="inlineStr">
        <is>
          <t>Apex Funding</t>
        </is>
      </c>
      <c r="M49" s="5" t="inlineStr">
        <is>
          <t>Summit Loan Servicing</t>
        </is>
      </c>
    </row>
    <row r="50">
      <c r="A50" s="7" t="inlineStr">
        <is>
          <t>L100045</t>
        </is>
      </c>
      <c r="B50" s="8" t="n">
        <v>262115.63</v>
      </c>
      <c r="C50" s="8" t="n">
        <v>251415.72</v>
      </c>
      <c r="D50" s="27" t="n">
        <v>6.728</v>
      </c>
      <c r="E50" s="10" t="n">
        <v>660</v>
      </c>
      <c r="F50" s="12" t="n">
        <v>72.2</v>
      </c>
      <c r="G50" s="12" t="n">
        <v>35.5</v>
      </c>
      <c r="H50" s="10" t="n">
        <v>42</v>
      </c>
      <c r="I50" s="10" t="n">
        <v>318</v>
      </c>
      <c r="J50" s="7" t="inlineStr">
        <is>
          <t>IL</t>
        </is>
      </c>
      <c r="K50" s="7" t="inlineStr">
        <is>
          <t>SFR</t>
        </is>
      </c>
      <c r="L50" s="7" t="inlineStr">
        <is>
          <t>Apex Funding</t>
        </is>
      </c>
      <c r="M50" s="7" t="inlineStr">
        <is>
          <t>Northgate Servicing</t>
        </is>
      </c>
    </row>
    <row r="51">
      <c r="A51" s="5" t="inlineStr">
        <is>
          <t>L100046</t>
        </is>
      </c>
      <c r="B51" s="16" t="n">
        <v>329390.77</v>
      </c>
      <c r="C51" s="16" t="n">
        <v>312768.32</v>
      </c>
      <c r="D51" s="26" t="n">
        <v>3.793</v>
      </c>
      <c r="E51" s="6" t="n">
        <v>751</v>
      </c>
      <c r="F51" s="11" t="n">
        <v>72</v>
      </c>
      <c r="G51" s="11" t="n">
        <v>43</v>
      </c>
      <c r="H51" s="6" t="n">
        <v>12</v>
      </c>
      <c r="I51" s="6" t="n">
        <v>168</v>
      </c>
      <c r="J51" s="5" t="inlineStr">
        <is>
          <t>IL</t>
        </is>
      </c>
      <c r="K51" s="5" t="inlineStr">
        <is>
          <t>SFR</t>
        </is>
      </c>
      <c r="L51" s="5" t="inlineStr">
        <is>
          <t>Coastal Mortgage Co</t>
        </is>
      </c>
      <c r="M51" s="5" t="inlineStr">
        <is>
          <t>Northgate Servicing</t>
        </is>
      </c>
    </row>
    <row r="52">
      <c r="A52" s="7" t="inlineStr">
        <is>
          <t>L100047</t>
        </is>
      </c>
      <c r="B52" s="8" t="n">
        <v>262566.18</v>
      </c>
      <c r="C52" s="8" t="n">
        <v>256583.7</v>
      </c>
      <c r="D52" s="27" t="n">
        <v>5.521</v>
      </c>
      <c r="E52" s="10" t="n">
        <v>742</v>
      </c>
      <c r="F52" s="12" t="n">
        <v>67.2</v>
      </c>
      <c r="G52" s="12" t="n">
        <v>31.7</v>
      </c>
      <c r="H52" s="10" t="n">
        <v>20</v>
      </c>
      <c r="I52" s="10" t="n">
        <v>340</v>
      </c>
      <c r="J52" s="7" t="inlineStr">
        <is>
          <t>NC</t>
        </is>
      </c>
      <c r="K52" s="7" t="inlineStr">
        <is>
          <t>SFR</t>
        </is>
      </c>
      <c r="L52" s="7" t="inlineStr">
        <is>
          <t>Meridian Home Loans</t>
        </is>
      </c>
      <c r="M52" s="7" t="inlineStr">
        <is>
          <t>Summit Loan Servicing</t>
        </is>
      </c>
    </row>
    <row r="53">
      <c r="A53" s="5" t="inlineStr">
        <is>
          <t>L100048</t>
        </is>
      </c>
      <c r="B53" s="16" t="n">
        <v>307927.53</v>
      </c>
      <c r="C53" s="16" t="n">
        <v>302442.84</v>
      </c>
      <c r="D53" s="26" t="n">
        <v>7.391</v>
      </c>
      <c r="E53" s="6" t="n">
        <v>721</v>
      </c>
      <c r="F53" s="11" t="n">
        <v>71.90000000000001</v>
      </c>
      <c r="G53" s="11" t="n">
        <v>42.6</v>
      </c>
      <c r="H53" s="6" t="n">
        <v>22</v>
      </c>
      <c r="I53" s="6" t="n">
        <v>338</v>
      </c>
      <c r="J53" s="5" t="inlineStr">
        <is>
          <t>TX</t>
        </is>
      </c>
      <c r="K53" s="5" t="inlineStr">
        <is>
          <t>Condo</t>
        </is>
      </c>
      <c r="L53" s="5" t="inlineStr">
        <is>
          <t>Apex Funding</t>
        </is>
      </c>
      <c r="M53" s="5" t="inlineStr">
        <is>
          <t>Pier Asset Mgmt</t>
        </is>
      </c>
    </row>
    <row r="54">
      <c r="A54" s="7" t="inlineStr">
        <is>
          <t>L100049</t>
        </is>
      </c>
      <c r="B54" s="8" t="n">
        <v>248612.98</v>
      </c>
      <c r="C54" s="8" t="n">
        <v>234127.63</v>
      </c>
      <c r="D54" s="27" t="n">
        <v>7.303</v>
      </c>
      <c r="E54" s="10" t="n">
        <v>653</v>
      </c>
      <c r="F54" s="12" t="n">
        <v>74.7</v>
      </c>
      <c r="G54" s="12" t="n">
        <v>34.7</v>
      </c>
      <c r="H54" s="10" t="n">
        <v>18</v>
      </c>
      <c r="I54" s="10" t="n">
        <v>162</v>
      </c>
      <c r="J54" s="7" t="inlineStr">
        <is>
          <t>CA</t>
        </is>
      </c>
      <c r="K54" s="7" t="inlineStr">
        <is>
          <t>Condo</t>
        </is>
      </c>
      <c r="L54" s="7" t="inlineStr">
        <is>
          <t>Highline Capital</t>
        </is>
      </c>
      <c r="M54" s="7" t="inlineStr">
        <is>
          <t>Northgate Servicing</t>
        </is>
      </c>
    </row>
    <row r="55">
      <c r="A55" s="5" t="inlineStr">
        <is>
          <t>L100050</t>
        </is>
      </c>
      <c r="B55" s="16" t="n">
        <v>268657.28</v>
      </c>
      <c r="C55" s="16" t="n">
        <v>259150.36</v>
      </c>
      <c r="D55" s="26" t="n">
        <v>6.737</v>
      </c>
      <c r="E55" s="6" t="n">
        <v>757</v>
      </c>
      <c r="F55" s="11" t="n">
        <v>84.7</v>
      </c>
      <c r="G55" s="11" t="n">
        <v>30.1</v>
      </c>
      <c r="H55" s="6" t="n">
        <v>37</v>
      </c>
      <c r="I55" s="6" t="n">
        <v>323</v>
      </c>
      <c r="J55" s="5" t="inlineStr">
        <is>
          <t>NC</t>
        </is>
      </c>
      <c r="K55" s="5" t="inlineStr">
        <is>
          <t>SFR</t>
        </is>
      </c>
      <c r="L55" s="5" t="inlineStr">
        <is>
          <t>Coastal Mortgage Co</t>
        </is>
      </c>
      <c r="M55" s="5" t="inlineStr">
        <is>
          <t>Summit Loan Servicing</t>
        </is>
      </c>
    </row>
    <row r="56">
      <c r="A56" s="7" t="inlineStr">
        <is>
          <t>L100051</t>
        </is>
      </c>
      <c r="B56" s="8" t="n">
        <v>302837.27</v>
      </c>
      <c r="C56" s="8" t="n">
        <v>291159.43</v>
      </c>
      <c r="D56" s="27" t="n">
        <v>7.194</v>
      </c>
      <c r="E56" s="10" t="n">
        <v>648</v>
      </c>
      <c r="F56" s="12" t="n">
        <v>72.8</v>
      </c>
      <c r="G56" s="12" t="n">
        <v>32.8</v>
      </c>
      <c r="H56" s="10" t="n">
        <v>43</v>
      </c>
      <c r="I56" s="10" t="n">
        <v>317</v>
      </c>
      <c r="J56" s="7" t="inlineStr">
        <is>
          <t>OH</t>
        </is>
      </c>
      <c r="K56" s="7" t="inlineStr">
        <is>
          <t>SFR</t>
        </is>
      </c>
      <c r="L56" s="7" t="inlineStr">
        <is>
          <t>Highline Capital</t>
        </is>
      </c>
      <c r="M56" s="7" t="inlineStr">
        <is>
          <t>Pier Asset Mgmt</t>
        </is>
      </c>
    </row>
    <row r="57">
      <c r="A57" s="5" t="inlineStr">
        <is>
          <t>L100052</t>
        </is>
      </c>
      <c r="B57" s="16" t="n">
        <v>145800.64</v>
      </c>
      <c r="C57" s="16" t="n">
        <v>142044.97</v>
      </c>
      <c r="D57" s="26" t="n">
        <v>6.594</v>
      </c>
      <c r="E57" s="6" t="n">
        <v>779</v>
      </c>
      <c r="F57" s="11" t="n">
        <v>78.8</v>
      </c>
      <c r="G57" s="11" t="n">
        <v>26.4</v>
      </c>
      <c r="H57" s="6" t="n">
        <v>27</v>
      </c>
      <c r="I57" s="6" t="n">
        <v>333</v>
      </c>
      <c r="J57" s="5" t="inlineStr">
        <is>
          <t>TX</t>
        </is>
      </c>
      <c r="K57" s="5" t="inlineStr">
        <is>
          <t>SFR</t>
        </is>
      </c>
      <c r="L57" s="5" t="inlineStr">
        <is>
          <t>Coastal Mortgage Co</t>
        </is>
      </c>
      <c r="M57" s="5" t="inlineStr">
        <is>
          <t>Northgate Servicing</t>
        </is>
      </c>
    </row>
    <row r="58">
      <c r="A58" s="7" t="inlineStr">
        <is>
          <t>L100053</t>
        </is>
      </c>
      <c r="B58" s="8" t="n">
        <v>217100.37</v>
      </c>
      <c r="C58" s="8" t="n">
        <v>208963.94</v>
      </c>
      <c r="D58" s="27" t="n">
        <v>6.9</v>
      </c>
      <c r="E58" s="10" t="n">
        <v>820</v>
      </c>
      <c r="F58" s="12" t="n">
        <v>67.5</v>
      </c>
      <c r="G58" s="12" t="n">
        <v>51.9</v>
      </c>
      <c r="H58" s="10" t="n">
        <v>40</v>
      </c>
      <c r="I58" s="10" t="n">
        <v>320</v>
      </c>
      <c r="J58" s="7" t="inlineStr">
        <is>
          <t>NY</t>
        </is>
      </c>
      <c r="K58" s="7" t="inlineStr">
        <is>
          <t>SFR</t>
        </is>
      </c>
      <c r="L58" s="7" t="inlineStr">
        <is>
          <t>Meridian Home Loans</t>
        </is>
      </c>
      <c r="M58" s="7" t="inlineStr">
        <is>
          <t>Northgate Servicing</t>
        </is>
      </c>
    </row>
    <row r="59">
      <c r="A59" s="5" t="inlineStr">
        <is>
          <t>L100054</t>
        </is>
      </c>
      <c r="B59" s="16" t="n">
        <v>205946.06</v>
      </c>
      <c r="C59" s="16" t="n">
        <v>204727.55</v>
      </c>
      <c r="D59" s="26" t="n">
        <v>6.116</v>
      </c>
      <c r="E59" s="6" t="n">
        <v>735</v>
      </c>
      <c r="F59" s="11" t="n">
        <v>80.90000000000001</v>
      </c>
      <c r="G59" s="11" t="n">
        <v>35.2</v>
      </c>
      <c r="H59" s="6" t="n">
        <v>6</v>
      </c>
      <c r="I59" s="6" t="n">
        <v>354</v>
      </c>
      <c r="J59" s="5" t="inlineStr">
        <is>
          <t>NC</t>
        </is>
      </c>
      <c r="K59" s="5" t="inlineStr">
        <is>
          <t>SFR</t>
        </is>
      </c>
      <c r="L59" s="5" t="inlineStr">
        <is>
          <t>Apex Funding</t>
        </is>
      </c>
      <c r="M59" s="5" t="inlineStr">
        <is>
          <t>Northgate Servicing</t>
        </is>
      </c>
    </row>
    <row r="60">
      <c r="A60" s="7" t="inlineStr">
        <is>
          <t>L100055</t>
        </is>
      </c>
      <c r="B60" s="8" t="n">
        <v>194151.25</v>
      </c>
      <c r="C60" s="8" t="n">
        <v>185017.01</v>
      </c>
      <c r="D60" s="27" t="n">
        <v>6.504</v>
      </c>
      <c r="E60" s="10" t="n">
        <v>747</v>
      </c>
      <c r="F60" s="12" t="n">
        <v>78.5</v>
      </c>
      <c r="G60" s="12" t="n">
        <v>41.2</v>
      </c>
      <c r="H60" s="10" t="n">
        <v>46</v>
      </c>
      <c r="I60" s="10" t="n">
        <v>314</v>
      </c>
      <c r="J60" s="7" t="inlineStr">
        <is>
          <t>TX</t>
        </is>
      </c>
      <c r="K60" s="7" t="inlineStr">
        <is>
          <t>SFR</t>
        </is>
      </c>
      <c r="L60" s="7" t="inlineStr">
        <is>
          <t>Highline Capital</t>
        </is>
      </c>
      <c r="M60" s="7" t="inlineStr">
        <is>
          <t>Summit Loan Servicing</t>
        </is>
      </c>
    </row>
    <row r="61">
      <c r="A61" s="5" t="inlineStr">
        <is>
          <t>L100056</t>
        </is>
      </c>
      <c r="B61" s="16" t="n">
        <v>220510.42</v>
      </c>
      <c r="C61" s="16" t="n">
        <v>219133.52</v>
      </c>
      <c r="D61" s="26" t="n">
        <v>5.831</v>
      </c>
      <c r="E61" s="6" t="n">
        <v>688</v>
      </c>
      <c r="F61" s="11" t="n">
        <v>84.40000000000001</v>
      </c>
      <c r="G61" s="11" t="n">
        <v>31.7</v>
      </c>
      <c r="H61" s="6" t="n">
        <v>6</v>
      </c>
      <c r="I61" s="6" t="n">
        <v>354</v>
      </c>
      <c r="J61" s="5" t="inlineStr">
        <is>
          <t>OH</t>
        </is>
      </c>
      <c r="K61" s="5" t="inlineStr">
        <is>
          <t>2-4 Unit</t>
        </is>
      </c>
      <c r="L61" s="5" t="inlineStr">
        <is>
          <t>Highline Capital</t>
        </is>
      </c>
      <c r="M61" s="5" t="inlineStr">
        <is>
          <t>Summit Loan Servicing</t>
        </is>
      </c>
    </row>
    <row r="62">
      <c r="A62" s="7" t="inlineStr">
        <is>
          <t>L100057</t>
        </is>
      </c>
      <c r="B62" s="8" t="n">
        <v>409720.07</v>
      </c>
      <c r="C62" s="8" t="n">
        <v>408501.35</v>
      </c>
      <c r="D62" s="27" t="n">
        <v>7.537</v>
      </c>
      <c r="E62" s="10" t="n">
        <v>615</v>
      </c>
      <c r="F62" s="12" t="n">
        <v>82.59999999999999</v>
      </c>
      <c r="G62" s="12" t="n">
        <v>27.6</v>
      </c>
      <c r="H62" s="10" t="n">
        <v>4</v>
      </c>
      <c r="I62" s="10" t="n">
        <v>356</v>
      </c>
      <c r="J62" s="7" t="inlineStr">
        <is>
          <t>FL</t>
        </is>
      </c>
      <c r="K62" s="7" t="inlineStr">
        <is>
          <t>SFR</t>
        </is>
      </c>
      <c r="L62" s="7" t="inlineStr">
        <is>
          <t>Highline Capital</t>
        </is>
      </c>
      <c r="M62" s="7" t="inlineStr">
        <is>
          <t>Summit Loan Servicing</t>
        </is>
      </c>
    </row>
    <row r="63">
      <c r="A63" s="5" t="inlineStr">
        <is>
          <t>L100058</t>
        </is>
      </c>
      <c r="B63" s="16" t="n">
        <v>179325.72</v>
      </c>
      <c r="C63" s="16" t="n">
        <v>179072.74</v>
      </c>
      <c r="D63" s="26" t="n">
        <v>7.769</v>
      </c>
      <c r="E63" s="6" t="n">
        <v>682</v>
      </c>
      <c r="F63" s="11" t="n">
        <v>81.09999999999999</v>
      </c>
      <c r="G63" s="11" t="n">
        <v>34.1</v>
      </c>
      <c r="H63" s="6" t="n">
        <v>2</v>
      </c>
      <c r="I63" s="6" t="n">
        <v>358</v>
      </c>
      <c r="J63" s="5" t="inlineStr">
        <is>
          <t>GA</t>
        </is>
      </c>
      <c r="K63" s="5" t="inlineStr">
        <is>
          <t>SFR</t>
        </is>
      </c>
      <c r="L63" s="5" t="inlineStr">
        <is>
          <t>Meridian Home Loans</t>
        </is>
      </c>
      <c r="M63" s="5" t="inlineStr">
        <is>
          <t>Summit Loan Servicing</t>
        </is>
      </c>
    </row>
    <row r="64">
      <c r="A64" s="7" t="inlineStr">
        <is>
          <t>L100059</t>
        </is>
      </c>
      <c r="B64" s="8" t="n">
        <v>340747.64</v>
      </c>
      <c r="C64" s="8" t="n">
        <v>337692.73</v>
      </c>
      <c r="D64" s="27" t="n">
        <v>7.642</v>
      </c>
      <c r="E64" s="10" t="n">
        <v>655</v>
      </c>
      <c r="F64" s="12" t="n">
        <v>72.8</v>
      </c>
      <c r="G64" s="12" t="n">
        <v>44.8</v>
      </c>
      <c r="H64" s="10" t="n">
        <v>12</v>
      </c>
      <c r="I64" s="10" t="n">
        <v>348</v>
      </c>
      <c r="J64" s="7" t="inlineStr">
        <is>
          <t>NY</t>
        </is>
      </c>
      <c r="K64" s="7" t="inlineStr">
        <is>
          <t>2-4 Unit</t>
        </is>
      </c>
      <c r="L64" s="7" t="inlineStr">
        <is>
          <t>Meridian Home Loans</t>
        </is>
      </c>
      <c r="M64" s="7" t="inlineStr">
        <is>
          <t>Northgate Servicing</t>
        </is>
      </c>
    </row>
    <row r="65">
      <c r="A65" s="5" t="inlineStr">
        <is>
          <t>L100060</t>
        </is>
      </c>
      <c r="B65" s="16" t="n">
        <v>134725.62</v>
      </c>
      <c r="C65" s="16" t="n">
        <v>128837.07</v>
      </c>
      <c r="D65" s="26" t="n">
        <v>6.033</v>
      </c>
      <c r="E65" s="6" t="n">
        <v>635</v>
      </c>
      <c r="F65" s="11" t="n">
        <v>76.90000000000001</v>
      </c>
      <c r="G65" s="11" t="n">
        <v>31.8</v>
      </c>
      <c r="H65" s="6" t="n">
        <v>40</v>
      </c>
      <c r="I65" s="6" t="n">
        <v>320</v>
      </c>
      <c r="J65" s="5" t="inlineStr">
        <is>
          <t>NC</t>
        </is>
      </c>
      <c r="K65" s="5" t="inlineStr">
        <is>
          <t>SFR</t>
        </is>
      </c>
      <c r="L65" s="5" t="inlineStr">
        <is>
          <t>Apex Funding</t>
        </is>
      </c>
      <c r="M65" s="5" t="inlineStr">
        <is>
          <t>Northgate Servicing</t>
        </is>
      </c>
    </row>
    <row r="66">
      <c r="A66" s="7" t="inlineStr">
        <is>
          <t>L100061</t>
        </is>
      </c>
      <c r="B66" s="8" t="n">
        <v>215947.42</v>
      </c>
      <c r="C66" s="8" t="n">
        <v>212313.82</v>
      </c>
      <c r="D66" s="27" t="n">
        <v>5.542</v>
      </c>
      <c r="E66" s="10" t="n">
        <v>810</v>
      </c>
      <c r="F66" s="12" t="n">
        <v>86.8</v>
      </c>
      <c r="G66" s="12" t="n">
        <v>29</v>
      </c>
      <c r="H66" s="10" t="n">
        <v>15</v>
      </c>
      <c r="I66" s="10" t="n">
        <v>345</v>
      </c>
      <c r="J66" s="7" t="inlineStr">
        <is>
          <t>TX</t>
        </is>
      </c>
      <c r="K66" s="7" t="inlineStr">
        <is>
          <t>2-4 Unit</t>
        </is>
      </c>
      <c r="L66" s="7" t="inlineStr">
        <is>
          <t>Highline Capital</t>
        </is>
      </c>
      <c r="M66" s="7" t="inlineStr">
        <is>
          <t>Pier Asset Mgmt</t>
        </is>
      </c>
    </row>
    <row r="67">
      <c r="A67" s="5" t="inlineStr">
        <is>
          <t>L100062</t>
        </is>
      </c>
      <c r="B67" s="16" t="n">
        <v>257033.98</v>
      </c>
      <c r="C67" s="16" t="n">
        <v>248953.99</v>
      </c>
      <c r="D67" s="26" t="n">
        <v>7.549</v>
      </c>
      <c r="E67" s="6" t="n">
        <v>730</v>
      </c>
      <c r="F67" s="11" t="n">
        <v>66.2</v>
      </c>
      <c r="G67" s="11" t="n">
        <v>37.2</v>
      </c>
      <c r="H67" s="6" t="n">
        <v>38</v>
      </c>
      <c r="I67" s="6" t="n">
        <v>322</v>
      </c>
      <c r="J67" s="5" t="inlineStr">
        <is>
          <t>CA</t>
        </is>
      </c>
      <c r="K67" s="5" t="inlineStr">
        <is>
          <t>SFR</t>
        </is>
      </c>
      <c r="L67" s="5" t="inlineStr">
        <is>
          <t>Highline Capital</t>
        </is>
      </c>
      <c r="M67" s="5" t="inlineStr">
        <is>
          <t>Pier Asset Mgmt</t>
        </is>
      </c>
    </row>
    <row r="68">
      <c r="A68" s="7" t="inlineStr">
        <is>
          <t>L100063</t>
        </is>
      </c>
      <c r="B68" s="8" t="n">
        <v>298098.07</v>
      </c>
      <c r="C68" s="8" t="n">
        <v>292822.03</v>
      </c>
      <c r="D68" s="27" t="n">
        <v>6.89</v>
      </c>
      <c r="E68" s="10" t="n">
        <v>736</v>
      </c>
      <c r="F68" s="12" t="n">
        <v>66.5</v>
      </c>
      <c r="G68" s="12" t="n">
        <v>40</v>
      </c>
      <c r="H68" s="10" t="n">
        <v>20</v>
      </c>
      <c r="I68" s="10" t="n">
        <v>340</v>
      </c>
      <c r="J68" s="7" t="inlineStr">
        <is>
          <t>GA</t>
        </is>
      </c>
      <c r="K68" s="7" t="inlineStr">
        <is>
          <t>SFR</t>
        </is>
      </c>
      <c r="L68" s="7" t="inlineStr">
        <is>
          <t>Coastal Mortgage Co</t>
        </is>
      </c>
      <c r="M68" s="7" t="inlineStr">
        <is>
          <t>Northgate Servicing</t>
        </is>
      </c>
    </row>
    <row r="69">
      <c r="A69" s="5" t="inlineStr">
        <is>
          <t>L100064</t>
        </is>
      </c>
      <c r="B69" s="16" t="n">
        <v>311429.82</v>
      </c>
      <c r="C69" s="16" t="n">
        <v>310059.7</v>
      </c>
      <c r="D69" s="26" t="n">
        <v>6.696</v>
      </c>
      <c r="E69" s="6" t="n">
        <v>698</v>
      </c>
      <c r="F69" s="11" t="n">
        <v>76.2</v>
      </c>
      <c r="G69" s="11" t="n">
        <v>49.1</v>
      </c>
      <c r="H69" s="6" t="n">
        <v>5</v>
      </c>
      <c r="I69" s="6" t="n">
        <v>355</v>
      </c>
      <c r="J69" s="5" t="inlineStr">
        <is>
          <t>OH</t>
        </is>
      </c>
      <c r="K69" s="5" t="inlineStr">
        <is>
          <t>SFR</t>
        </is>
      </c>
      <c r="L69" s="5" t="inlineStr">
        <is>
          <t>Coastal Mortgage Co</t>
        </is>
      </c>
      <c r="M69" s="5" t="inlineStr">
        <is>
          <t>Summit Loan Servicing</t>
        </is>
      </c>
    </row>
    <row r="70">
      <c r="A70" s="7" t="inlineStr">
        <is>
          <t>L100065</t>
        </is>
      </c>
      <c r="B70" s="8" t="n">
        <v>320510.89</v>
      </c>
      <c r="C70" s="8" t="n">
        <v>312511.17</v>
      </c>
      <c r="D70" s="27" t="n">
        <v>5.83</v>
      </c>
      <c r="E70" s="10" t="n">
        <v>705</v>
      </c>
      <c r="F70" s="12" t="n">
        <v>79</v>
      </c>
      <c r="G70" s="12" t="n">
        <v>38.8</v>
      </c>
      <c r="H70" s="10" t="n">
        <v>23</v>
      </c>
      <c r="I70" s="10" t="n">
        <v>337</v>
      </c>
      <c r="J70" s="7" t="inlineStr">
        <is>
          <t>NC</t>
        </is>
      </c>
      <c r="K70" s="7" t="inlineStr">
        <is>
          <t>SFR</t>
        </is>
      </c>
      <c r="L70" s="7" t="inlineStr">
        <is>
          <t>Apex Funding</t>
        </is>
      </c>
      <c r="M70" s="7" t="inlineStr">
        <is>
          <t>Summit Loan Servicing</t>
        </is>
      </c>
    </row>
    <row r="71">
      <c r="A71" s="5" t="inlineStr">
        <is>
          <t>L100066</t>
        </is>
      </c>
      <c r="B71" s="16" t="n">
        <v>214903.9</v>
      </c>
      <c r="C71" s="16" t="n">
        <v>212823.57</v>
      </c>
      <c r="D71" s="26" t="n">
        <v>6.783</v>
      </c>
      <c r="E71" s="6" t="n">
        <v>768</v>
      </c>
      <c r="F71" s="11" t="n">
        <v>64.09999999999999</v>
      </c>
      <c r="G71" s="11" t="n">
        <v>41.2</v>
      </c>
      <c r="H71" s="6" t="n">
        <v>11</v>
      </c>
      <c r="I71" s="6" t="n">
        <v>349</v>
      </c>
      <c r="J71" s="5" t="inlineStr">
        <is>
          <t>AZ</t>
        </is>
      </c>
      <c r="K71" s="5" t="inlineStr">
        <is>
          <t>Multifamily</t>
        </is>
      </c>
      <c r="L71" s="5" t="inlineStr">
        <is>
          <t>Highline Capital</t>
        </is>
      </c>
      <c r="M71" s="5" t="inlineStr">
        <is>
          <t>Summit Loan Servicing</t>
        </is>
      </c>
    </row>
    <row r="72">
      <c r="A72" s="7" t="inlineStr">
        <is>
          <t>L100067</t>
        </is>
      </c>
      <c r="B72" s="8" t="n">
        <v>206525.03</v>
      </c>
      <c r="C72" s="8" t="n">
        <v>203218.12</v>
      </c>
      <c r="D72" s="27" t="n">
        <v>5.423</v>
      </c>
      <c r="E72" s="10" t="n">
        <v>713</v>
      </c>
      <c r="F72" s="12" t="n">
        <v>73.09999999999999</v>
      </c>
      <c r="G72" s="12" t="n">
        <v>41.8</v>
      </c>
      <c r="H72" s="10" t="n">
        <v>14</v>
      </c>
      <c r="I72" s="10" t="n">
        <v>346</v>
      </c>
      <c r="J72" s="7" t="inlineStr">
        <is>
          <t>IL</t>
        </is>
      </c>
      <c r="K72" s="7" t="inlineStr">
        <is>
          <t>Condo</t>
        </is>
      </c>
      <c r="L72" s="7" t="inlineStr">
        <is>
          <t>Meridian Home Loans</t>
        </is>
      </c>
      <c r="M72" s="7" t="inlineStr">
        <is>
          <t>Summit Loan Servicing</t>
        </is>
      </c>
    </row>
    <row r="73">
      <c r="A73" s="5" t="inlineStr">
        <is>
          <t>L100068</t>
        </is>
      </c>
      <c r="B73" s="16" t="n">
        <v>327843.47</v>
      </c>
      <c r="C73" s="16" t="n">
        <v>320593.99</v>
      </c>
      <c r="D73" s="26" t="n">
        <v>6.971</v>
      </c>
      <c r="E73" s="6" t="n">
        <v>744</v>
      </c>
      <c r="F73" s="11" t="n">
        <v>72.90000000000001</v>
      </c>
      <c r="G73" s="11" t="n">
        <v>26.8</v>
      </c>
      <c r="H73" s="6" t="n">
        <v>25</v>
      </c>
      <c r="I73" s="6" t="n">
        <v>335</v>
      </c>
      <c r="J73" s="5" t="inlineStr">
        <is>
          <t>TX</t>
        </is>
      </c>
      <c r="K73" s="5" t="inlineStr">
        <is>
          <t>SFR</t>
        </is>
      </c>
      <c r="L73" s="5" t="inlineStr">
        <is>
          <t>Highline Capital</t>
        </is>
      </c>
      <c r="M73" s="5" t="inlineStr">
        <is>
          <t>Summit Loan Servicing</t>
        </is>
      </c>
    </row>
    <row r="74">
      <c r="A74" s="7" t="inlineStr">
        <is>
          <t>L100069</t>
        </is>
      </c>
      <c r="B74" s="8" t="n">
        <v>227076.78</v>
      </c>
      <c r="C74" s="8" t="n">
        <v>220058.84</v>
      </c>
      <c r="D74" s="27" t="n">
        <v>7.641</v>
      </c>
      <c r="E74" s="10" t="n">
        <v>704</v>
      </c>
      <c r="F74" s="12" t="n">
        <v>47.4</v>
      </c>
      <c r="G74" s="12" t="n">
        <v>28.3</v>
      </c>
      <c r="H74" s="10" t="n">
        <v>38</v>
      </c>
      <c r="I74" s="10" t="n">
        <v>322</v>
      </c>
      <c r="J74" s="7" t="inlineStr">
        <is>
          <t>IL</t>
        </is>
      </c>
      <c r="K74" s="7" t="inlineStr">
        <is>
          <t>SFR</t>
        </is>
      </c>
      <c r="L74" s="7" t="inlineStr">
        <is>
          <t>Highline Capital</t>
        </is>
      </c>
      <c r="M74" s="7" t="inlineStr">
        <is>
          <t>Pier Asset Mgmt</t>
        </is>
      </c>
    </row>
    <row r="75">
      <c r="A75" s="5" t="inlineStr">
        <is>
          <t>L100070</t>
        </is>
      </c>
      <c r="B75" s="16" t="n">
        <v>155361.48</v>
      </c>
      <c r="C75" s="16" t="n">
        <v>152082.42</v>
      </c>
      <c r="D75" s="26" t="n">
        <v>7.868</v>
      </c>
      <c r="E75" s="6" t="n">
        <v>696</v>
      </c>
      <c r="F75" s="11" t="n">
        <v>71.40000000000001</v>
      </c>
      <c r="G75" s="11" t="n">
        <v>27.3</v>
      </c>
      <c r="H75" s="6" t="n">
        <v>28</v>
      </c>
      <c r="I75" s="6" t="n">
        <v>332</v>
      </c>
      <c r="J75" s="5" t="inlineStr">
        <is>
          <t>WA</t>
        </is>
      </c>
      <c r="K75" s="5" t="inlineStr">
        <is>
          <t>Multifamily</t>
        </is>
      </c>
      <c r="L75" s="5" t="inlineStr">
        <is>
          <t>Meridian Home Loans</t>
        </is>
      </c>
      <c r="M75" s="5" t="inlineStr">
        <is>
          <t>Northgate Servicing</t>
        </is>
      </c>
    </row>
    <row r="76">
      <c r="A76" s="7" t="inlineStr">
        <is>
          <t>L100071</t>
        </is>
      </c>
      <c r="B76" s="8" t="n">
        <v>163300.85</v>
      </c>
      <c r="C76" s="8" t="n">
        <v>161795.81</v>
      </c>
      <c r="D76" s="27" t="n">
        <v>7.038</v>
      </c>
      <c r="E76" s="10" t="n">
        <v>638</v>
      </c>
      <c r="F76" s="12" t="n">
        <v>72.09999999999999</v>
      </c>
      <c r="G76" s="12" t="n">
        <v>25.3</v>
      </c>
      <c r="H76" s="10" t="n">
        <v>11</v>
      </c>
      <c r="I76" s="10" t="n">
        <v>349</v>
      </c>
      <c r="J76" s="7" t="inlineStr">
        <is>
          <t>AZ</t>
        </is>
      </c>
      <c r="K76" s="7" t="inlineStr">
        <is>
          <t>SFR</t>
        </is>
      </c>
      <c r="L76" s="7" t="inlineStr">
        <is>
          <t>Highline Capital</t>
        </is>
      </c>
      <c r="M76" s="7" t="inlineStr">
        <is>
          <t>Pier Asset Mgmt</t>
        </is>
      </c>
    </row>
    <row r="77">
      <c r="A77" s="5" t="inlineStr">
        <is>
          <t>L100072</t>
        </is>
      </c>
      <c r="B77" s="16" t="n">
        <v>175991.63</v>
      </c>
      <c r="C77" s="16" t="n">
        <v>168488.22</v>
      </c>
      <c r="D77" s="26" t="n">
        <v>5.156</v>
      </c>
      <c r="E77" s="6" t="n">
        <v>606</v>
      </c>
      <c r="F77" s="11" t="n">
        <v>72.09999999999999</v>
      </c>
      <c r="G77" s="11" t="n">
        <v>42.4</v>
      </c>
      <c r="H77" s="6" t="n">
        <v>34</v>
      </c>
      <c r="I77" s="6" t="n">
        <v>326</v>
      </c>
      <c r="J77" s="5" t="inlineStr">
        <is>
          <t>AZ</t>
        </is>
      </c>
      <c r="K77" s="5" t="inlineStr">
        <is>
          <t>SFR</t>
        </is>
      </c>
      <c r="L77" s="5" t="inlineStr">
        <is>
          <t>Apex Funding</t>
        </is>
      </c>
      <c r="M77" s="5" t="inlineStr">
        <is>
          <t>Summit Loan Servicing</t>
        </is>
      </c>
    </row>
    <row r="78">
      <c r="A78" s="7" t="inlineStr">
        <is>
          <t>L100073</t>
        </is>
      </c>
      <c r="B78" s="8" t="n">
        <v>288949.23</v>
      </c>
      <c r="C78" s="8" t="n">
        <v>279670.38</v>
      </c>
      <c r="D78" s="27" t="n">
        <v>6.578</v>
      </c>
      <c r="E78" s="10" t="n">
        <v>701</v>
      </c>
      <c r="F78" s="12" t="n">
        <v>91</v>
      </c>
      <c r="G78" s="12" t="n">
        <v>38.3</v>
      </c>
      <c r="H78" s="10" t="n">
        <v>33</v>
      </c>
      <c r="I78" s="10" t="n">
        <v>327</v>
      </c>
      <c r="J78" s="7" t="inlineStr">
        <is>
          <t>NY</t>
        </is>
      </c>
      <c r="K78" s="7" t="inlineStr">
        <is>
          <t>Multifamily</t>
        </is>
      </c>
      <c r="L78" s="7" t="inlineStr">
        <is>
          <t>Highline Capital</t>
        </is>
      </c>
      <c r="M78" s="7" t="inlineStr">
        <is>
          <t>Summit Loan Servicing</t>
        </is>
      </c>
    </row>
    <row r="79">
      <c r="A79" s="5" t="inlineStr">
        <is>
          <t>L100074</t>
        </is>
      </c>
      <c r="B79" s="16" t="n">
        <v>255211.78</v>
      </c>
      <c r="C79" s="16" t="n">
        <v>246278.41</v>
      </c>
      <c r="D79" s="26" t="n">
        <v>8.326000000000001</v>
      </c>
      <c r="E79" s="6" t="n">
        <v>718</v>
      </c>
      <c r="F79" s="11" t="n">
        <v>59.4</v>
      </c>
      <c r="G79" s="11" t="n">
        <v>36.6</v>
      </c>
      <c r="H79" s="6" t="n">
        <v>12</v>
      </c>
      <c r="I79" s="6" t="n">
        <v>168</v>
      </c>
      <c r="J79" s="5" t="inlineStr">
        <is>
          <t>GA</t>
        </is>
      </c>
      <c r="K79" s="5" t="inlineStr">
        <is>
          <t>SFR</t>
        </is>
      </c>
      <c r="L79" s="5" t="inlineStr">
        <is>
          <t>Meridian Home Loans</t>
        </is>
      </c>
      <c r="M79" s="5" t="inlineStr">
        <is>
          <t>Summit Loan Servicing</t>
        </is>
      </c>
    </row>
    <row r="80">
      <c r="A80" s="7" t="inlineStr">
        <is>
          <t>L100075</t>
        </is>
      </c>
      <c r="B80" s="8" t="n">
        <v>309177.21</v>
      </c>
      <c r="C80" s="8" t="n">
        <v>294256.07</v>
      </c>
      <c r="D80" s="27" t="n">
        <v>5.618</v>
      </c>
      <c r="E80" s="10" t="n">
        <v>644</v>
      </c>
      <c r="F80" s="12" t="n">
        <v>64.09999999999999</v>
      </c>
      <c r="G80" s="12" t="n">
        <v>15.3</v>
      </c>
      <c r="H80" s="10" t="n">
        <v>41</v>
      </c>
      <c r="I80" s="10" t="n">
        <v>319</v>
      </c>
      <c r="J80" s="7" t="inlineStr">
        <is>
          <t>NC</t>
        </is>
      </c>
      <c r="K80" s="7" t="inlineStr">
        <is>
          <t>SFR</t>
        </is>
      </c>
      <c r="L80" s="7" t="inlineStr">
        <is>
          <t>Highline Capital</t>
        </is>
      </c>
      <c r="M80" s="7" t="inlineStr">
        <is>
          <t>Northgate Servicing</t>
        </is>
      </c>
    </row>
    <row r="81">
      <c r="A81" s="5" t="inlineStr">
        <is>
          <t>L100076</t>
        </is>
      </c>
      <c r="B81" s="16" t="n">
        <v>209077.77</v>
      </c>
      <c r="C81" s="16" t="n">
        <v>200429.99</v>
      </c>
      <c r="D81" s="26" t="n">
        <v>6.347</v>
      </c>
      <c r="E81" s="6" t="n">
        <v>713</v>
      </c>
      <c r="F81" s="11" t="n">
        <v>42.7</v>
      </c>
      <c r="G81" s="11" t="n">
        <v>52.4</v>
      </c>
      <c r="H81" s="6" t="n">
        <v>40</v>
      </c>
      <c r="I81" s="6" t="n">
        <v>320</v>
      </c>
      <c r="J81" s="5" t="inlineStr">
        <is>
          <t>NC</t>
        </is>
      </c>
      <c r="K81" s="5" t="inlineStr">
        <is>
          <t>SFR</t>
        </is>
      </c>
      <c r="L81" s="5" t="inlineStr">
        <is>
          <t>Meridian Home Loans</t>
        </is>
      </c>
      <c r="M81" s="5" t="inlineStr">
        <is>
          <t>Northgate Servicing</t>
        </is>
      </c>
    </row>
    <row r="82">
      <c r="A82" s="7" t="inlineStr">
        <is>
          <t>L100077</t>
        </is>
      </c>
      <c r="B82" s="8" t="n">
        <v>256655.22</v>
      </c>
      <c r="C82" s="8" t="n">
        <v>250812.55</v>
      </c>
      <c r="D82" s="27" t="n">
        <v>7.672</v>
      </c>
      <c r="E82" s="10" t="n">
        <v>718</v>
      </c>
      <c r="F82" s="12" t="n">
        <v>68.2</v>
      </c>
      <c r="G82" s="12" t="n">
        <v>28.8</v>
      </c>
      <c r="H82" s="10" t="n">
        <v>29</v>
      </c>
      <c r="I82" s="10" t="n">
        <v>331</v>
      </c>
      <c r="J82" s="7" t="inlineStr">
        <is>
          <t>OH</t>
        </is>
      </c>
      <c r="K82" s="7" t="inlineStr">
        <is>
          <t>SFR</t>
        </is>
      </c>
      <c r="L82" s="7" t="inlineStr">
        <is>
          <t>Meridian Home Loans</t>
        </is>
      </c>
      <c r="M82" s="7" t="inlineStr">
        <is>
          <t>Northgate Servicing</t>
        </is>
      </c>
    </row>
    <row r="83">
      <c r="A83" s="5" t="inlineStr">
        <is>
          <t>L100078</t>
        </is>
      </c>
      <c r="B83" s="16" t="n">
        <v>302233.94</v>
      </c>
      <c r="C83" s="16" t="n">
        <v>298599.76</v>
      </c>
      <c r="D83" s="26" t="n">
        <v>6.955</v>
      </c>
      <c r="E83" s="6" t="n">
        <v>596</v>
      </c>
      <c r="F83" s="11" t="n">
        <v>69.3</v>
      </c>
      <c r="G83" s="11" t="n">
        <v>52.4</v>
      </c>
      <c r="H83" s="6" t="n">
        <v>14</v>
      </c>
      <c r="I83" s="6" t="n">
        <v>346</v>
      </c>
      <c r="J83" s="5" t="inlineStr">
        <is>
          <t>NC</t>
        </is>
      </c>
      <c r="K83" s="5" t="inlineStr">
        <is>
          <t>2-4 Unit</t>
        </is>
      </c>
      <c r="L83" s="5" t="inlineStr">
        <is>
          <t>Coastal Mortgage Co</t>
        </is>
      </c>
      <c r="M83" s="5" t="inlineStr">
        <is>
          <t>Pier Asset Mgmt</t>
        </is>
      </c>
    </row>
    <row r="84">
      <c r="A84" s="7" t="inlineStr">
        <is>
          <t>L100079</t>
        </is>
      </c>
      <c r="B84" s="8" t="n">
        <v>217886.31</v>
      </c>
      <c r="C84" s="8" t="n">
        <v>215572.3</v>
      </c>
      <c r="D84" s="27" t="n">
        <v>8.632</v>
      </c>
      <c r="E84" s="10" t="n">
        <v>665</v>
      </c>
      <c r="F84" s="12" t="n">
        <v>67.90000000000001</v>
      </c>
      <c r="G84" s="12" t="n">
        <v>24.4</v>
      </c>
      <c r="H84" s="10" t="n">
        <v>17</v>
      </c>
      <c r="I84" s="10" t="n">
        <v>343</v>
      </c>
      <c r="J84" s="7" t="inlineStr">
        <is>
          <t>FL</t>
        </is>
      </c>
      <c r="K84" s="7" t="inlineStr">
        <is>
          <t>SFR</t>
        </is>
      </c>
      <c r="L84" s="7" t="inlineStr">
        <is>
          <t>Apex Funding</t>
        </is>
      </c>
      <c r="M84" s="7" t="inlineStr">
        <is>
          <t>Northgate Servicing</t>
        </is>
      </c>
    </row>
    <row r="85">
      <c r="A85" s="5" t="inlineStr">
        <is>
          <t>L100080</t>
        </is>
      </c>
      <c r="B85" s="16" t="n">
        <v>284893.68</v>
      </c>
      <c r="C85" s="16" t="n">
        <v>262824.61</v>
      </c>
      <c r="D85" s="26" t="n">
        <v>5.74</v>
      </c>
      <c r="E85" s="6" t="n">
        <v>737</v>
      </c>
      <c r="F85" s="11" t="n">
        <v>87.3</v>
      </c>
      <c r="G85" s="11" t="n">
        <v>29.5</v>
      </c>
      <c r="H85" s="6" t="n">
        <v>21</v>
      </c>
      <c r="I85" s="6" t="n">
        <v>159</v>
      </c>
      <c r="J85" s="5" t="inlineStr">
        <is>
          <t>FL</t>
        </is>
      </c>
      <c r="K85" s="5" t="inlineStr">
        <is>
          <t>Multifamily</t>
        </is>
      </c>
      <c r="L85" s="5" t="inlineStr">
        <is>
          <t>Meridian Home Loans</t>
        </is>
      </c>
      <c r="M85" s="5" t="inlineStr">
        <is>
          <t>Pier Asset Mgmt</t>
        </is>
      </c>
    </row>
    <row r="86">
      <c r="A86" s="7" t="inlineStr">
        <is>
          <t>L100081</t>
        </is>
      </c>
      <c r="B86" s="8" t="n">
        <v>192591.36</v>
      </c>
      <c r="C86" s="8" t="n">
        <v>190662.2</v>
      </c>
      <c r="D86" s="27" t="n">
        <v>5.509</v>
      </c>
      <c r="E86" s="10" t="n">
        <v>736</v>
      </c>
      <c r="F86" s="12" t="n">
        <v>84.3</v>
      </c>
      <c r="G86" s="12" t="n">
        <v>18.4</v>
      </c>
      <c r="H86" s="10" t="n">
        <v>9</v>
      </c>
      <c r="I86" s="10" t="n">
        <v>351</v>
      </c>
      <c r="J86" s="7" t="inlineStr">
        <is>
          <t>NC</t>
        </is>
      </c>
      <c r="K86" s="7" t="inlineStr">
        <is>
          <t>SFR</t>
        </is>
      </c>
      <c r="L86" s="7" t="inlineStr">
        <is>
          <t>Coastal Mortgage Co</t>
        </is>
      </c>
      <c r="M86" s="7" t="inlineStr">
        <is>
          <t>Summit Loan Servicing</t>
        </is>
      </c>
    </row>
    <row r="87">
      <c r="A87" s="5" t="inlineStr">
        <is>
          <t>L100082</t>
        </is>
      </c>
      <c r="B87" s="16" t="n">
        <v>213828.84</v>
      </c>
      <c r="C87" s="16" t="n">
        <v>211342.41</v>
      </c>
      <c r="D87" s="26" t="n">
        <v>7.502</v>
      </c>
      <c r="E87" s="6" t="n">
        <v>652</v>
      </c>
      <c r="F87" s="11" t="n">
        <v>74.90000000000001</v>
      </c>
      <c r="G87" s="11" t="n">
        <v>38.9</v>
      </c>
      <c r="H87" s="6" t="n">
        <v>15</v>
      </c>
      <c r="I87" s="6" t="n">
        <v>345</v>
      </c>
      <c r="J87" s="5" t="inlineStr">
        <is>
          <t>OH</t>
        </is>
      </c>
      <c r="K87" s="5" t="inlineStr">
        <is>
          <t>SFR</t>
        </is>
      </c>
      <c r="L87" s="5" t="inlineStr">
        <is>
          <t>Coastal Mortgage Co</t>
        </is>
      </c>
      <c r="M87" s="5" t="inlineStr">
        <is>
          <t>Northgate Servicing</t>
        </is>
      </c>
    </row>
    <row r="88">
      <c r="A88" s="7" t="inlineStr">
        <is>
          <t>L100083</t>
        </is>
      </c>
      <c r="B88" s="8" t="n">
        <v>212435.08</v>
      </c>
      <c r="C88" s="8" t="n">
        <v>206948.04</v>
      </c>
      <c r="D88" s="27" t="n">
        <v>5.324</v>
      </c>
      <c r="E88" s="10" t="n">
        <v>724</v>
      </c>
      <c r="F88" s="12" t="n">
        <v>69.59999999999999</v>
      </c>
      <c r="G88" s="12" t="n">
        <v>27.2</v>
      </c>
      <c r="H88" s="10" t="n">
        <v>7</v>
      </c>
      <c r="I88" s="10" t="n">
        <v>173</v>
      </c>
      <c r="J88" s="7" t="inlineStr">
        <is>
          <t>WA</t>
        </is>
      </c>
      <c r="K88" s="7" t="inlineStr">
        <is>
          <t>Condo</t>
        </is>
      </c>
      <c r="L88" s="7" t="inlineStr">
        <is>
          <t>Meridian Home Loans</t>
        </is>
      </c>
      <c r="M88" s="7" t="inlineStr">
        <is>
          <t>Northgate Servicing</t>
        </is>
      </c>
    </row>
    <row r="89">
      <c r="A89" s="5" t="inlineStr">
        <is>
          <t>L100084</t>
        </is>
      </c>
      <c r="B89" s="16" t="n">
        <v>159764.5</v>
      </c>
      <c r="C89" s="16" t="n">
        <v>158523.09</v>
      </c>
      <c r="D89" s="26" t="n">
        <v>6.223</v>
      </c>
      <c r="E89" s="6" t="n">
        <v>771</v>
      </c>
      <c r="F89" s="11" t="n">
        <v>86.3</v>
      </c>
      <c r="G89" s="11" t="n">
        <v>27.4</v>
      </c>
      <c r="H89" s="6" t="n">
        <v>8</v>
      </c>
      <c r="I89" s="6" t="n">
        <v>352</v>
      </c>
      <c r="J89" s="5" t="inlineStr">
        <is>
          <t>NC</t>
        </is>
      </c>
      <c r="K89" s="5" t="inlineStr">
        <is>
          <t>SFR</t>
        </is>
      </c>
      <c r="L89" s="5" t="inlineStr">
        <is>
          <t>Meridian Home Loans</t>
        </is>
      </c>
      <c r="M89" s="5" t="inlineStr">
        <is>
          <t>Northgate Servicing</t>
        </is>
      </c>
    </row>
    <row r="90">
      <c r="A90" s="7" t="inlineStr">
        <is>
          <t>L100085</t>
        </is>
      </c>
      <c r="B90" s="8" t="n">
        <v>287920.7</v>
      </c>
      <c r="C90" s="8" t="n">
        <v>277630.41</v>
      </c>
      <c r="D90" s="27" t="n">
        <v>6.341</v>
      </c>
      <c r="E90" s="10" t="n">
        <v>758</v>
      </c>
      <c r="F90" s="12" t="n">
        <v>73.8</v>
      </c>
      <c r="G90" s="12" t="n">
        <v>25</v>
      </c>
      <c r="H90" s="10" t="n">
        <v>35</v>
      </c>
      <c r="I90" s="10" t="n">
        <v>325</v>
      </c>
      <c r="J90" s="7" t="inlineStr">
        <is>
          <t>GA</t>
        </is>
      </c>
      <c r="K90" s="7" t="inlineStr">
        <is>
          <t>SFR</t>
        </is>
      </c>
      <c r="L90" s="7" t="inlineStr">
        <is>
          <t>Meridian Home Loans</t>
        </is>
      </c>
      <c r="M90" s="7" t="inlineStr">
        <is>
          <t>Pier Asset Mgmt</t>
        </is>
      </c>
    </row>
    <row r="91">
      <c r="A91" s="5" t="inlineStr">
        <is>
          <t>L100086</t>
        </is>
      </c>
      <c r="B91" s="16" t="n">
        <v>206016.01</v>
      </c>
      <c r="C91" s="16" t="n">
        <v>204888.74</v>
      </c>
      <c r="D91" s="26" t="n">
        <v>7.332</v>
      </c>
      <c r="E91" s="6" t="n">
        <v>710</v>
      </c>
      <c r="F91" s="11" t="n">
        <v>64.2</v>
      </c>
      <c r="G91" s="11" t="n">
        <v>42.2</v>
      </c>
      <c r="H91" s="6" t="n">
        <v>7</v>
      </c>
      <c r="I91" s="6" t="n">
        <v>353</v>
      </c>
      <c r="J91" s="5" t="inlineStr">
        <is>
          <t>OH</t>
        </is>
      </c>
      <c r="K91" s="5" t="inlineStr">
        <is>
          <t>SFR</t>
        </is>
      </c>
      <c r="L91" s="5" t="inlineStr">
        <is>
          <t>Highline Capital</t>
        </is>
      </c>
      <c r="M91" s="5" t="inlineStr">
        <is>
          <t>Northgate Servicing</t>
        </is>
      </c>
    </row>
    <row r="92">
      <c r="A92" s="7" t="inlineStr">
        <is>
          <t>L100087</t>
        </is>
      </c>
      <c r="B92" s="8" t="n">
        <v>243865.7</v>
      </c>
      <c r="C92" s="8" t="n">
        <v>238917.21</v>
      </c>
      <c r="D92" s="27" t="n">
        <v>6.953</v>
      </c>
      <c r="E92" s="10" t="n">
        <v>689</v>
      </c>
      <c r="F92" s="12" t="n">
        <v>53.4</v>
      </c>
      <c r="G92" s="12" t="n">
        <v>41.7</v>
      </c>
      <c r="H92" s="10" t="n">
        <v>23</v>
      </c>
      <c r="I92" s="10" t="n">
        <v>337</v>
      </c>
      <c r="J92" s="7" t="inlineStr">
        <is>
          <t>WA</t>
        </is>
      </c>
      <c r="K92" s="7" t="inlineStr">
        <is>
          <t>Condo</t>
        </is>
      </c>
      <c r="L92" s="7" t="inlineStr">
        <is>
          <t>Highline Capital</t>
        </is>
      </c>
      <c r="M92" s="7" t="inlineStr">
        <is>
          <t>Northgate Servicing</t>
        </is>
      </c>
    </row>
    <row r="93">
      <c r="A93" s="5" t="inlineStr">
        <is>
          <t>L100088</t>
        </is>
      </c>
      <c r="B93" s="16" t="n">
        <v>287293.99</v>
      </c>
      <c r="C93" s="16" t="n">
        <v>281859.22</v>
      </c>
      <c r="D93" s="26" t="n">
        <v>6.811</v>
      </c>
      <c r="E93" s="6" t="n">
        <v>680</v>
      </c>
      <c r="F93" s="11" t="n">
        <v>68.7</v>
      </c>
      <c r="G93" s="11" t="n">
        <v>50.5</v>
      </c>
      <c r="H93" s="6" t="n">
        <v>21</v>
      </c>
      <c r="I93" s="6" t="n">
        <v>339</v>
      </c>
      <c r="J93" s="5" t="inlineStr">
        <is>
          <t>CA</t>
        </is>
      </c>
      <c r="K93" s="5" t="inlineStr">
        <is>
          <t>2-4 Unit</t>
        </is>
      </c>
      <c r="L93" s="5" t="inlineStr">
        <is>
          <t>Apex Funding</t>
        </is>
      </c>
      <c r="M93" s="5" t="inlineStr">
        <is>
          <t>Pier Asset Mgmt</t>
        </is>
      </c>
    </row>
    <row r="94">
      <c r="A94" s="7" t="inlineStr">
        <is>
          <t>L100089</t>
        </is>
      </c>
      <c r="B94" s="8" t="n">
        <v>283874.04</v>
      </c>
      <c r="C94" s="8" t="n">
        <v>283028.15</v>
      </c>
      <c r="D94" s="27" t="n">
        <v>6.038</v>
      </c>
      <c r="E94" s="10" t="n">
        <v>741</v>
      </c>
      <c r="F94" s="12" t="n">
        <v>83.09999999999999</v>
      </c>
      <c r="G94" s="12" t="n">
        <v>30.5</v>
      </c>
      <c r="H94" s="10" t="n">
        <v>3</v>
      </c>
      <c r="I94" s="10" t="n">
        <v>357</v>
      </c>
      <c r="J94" s="7" t="inlineStr">
        <is>
          <t>NY</t>
        </is>
      </c>
      <c r="K94" s="7" t="inlineStr">
        <is>
          <t>SFR</t>
        </is>
      </c>
      <c r="L94" s="7" t="inlineStr">
        <is>
          <t>Apex Funding</t>
        </is>
      </c>
      <c r="M94" s="7" t="inlineStr">
        <is>
          <t>Northgate Servicing</t>
        </is>
      </c>
    </row>
    <row r="95">
      <c r="A95" s="5" t="inlineStr">
        <is>
          <t>L100090</t>
        </is>
      </c>
      <c r="B95" s="16" t="n">
        <v>306472.95</v>
      </c>
      <c r="C95" s="16" t="n">
        <v>264540.6</v>
      </c>
      <c r="D95" s="26" t="n">
        <v>7.494</v>
      </c>
      <c r="E95" s="6" t="n">
        <v>726</v>
      </c>
      <c r="F95" s="11" t="n">
        <v>97</v>
      </c>
      <c r="G95" s="11" t="n">
        <v>37.8</v>
      </c>
      <c r="H95" s="6" t="n">
        <v>40</v>
      </c>
      <c r="I95" s="6" t="n">
        <v>140</v>
      </c>
      <c r="J95" s="5" t="inlineStr">
        <is>
          <t>NY</t>
        </is>
      </c>
      <c r="K95" s="5" t="inlineStr">
        <is>
          <t>SFR</t>
        </is>
      </c>
      <c r="L95" s="5" t="inlineStr">
        <is>
          <t>Meridian Home Loans</t>
        </is>
      </c>
      <c r="M95" s="5" t="inlineStr">
        <is>
          <t>Northgate Servicing</t>
        </is>
      </c>
    </row>
    <row r="96">
      <c r="A96" s="7" t="inlineStr">
        <is>
          <t>L100091</t>
        </is>
      </c>
      <c r="B96" s="8" t="n">
        <v>234574.87</v>
      </c>
      <c r="C96" s="8" t="n">
        <v>228660.73</v>
      </c>
      <c r="D96" s="27" t="n">
        <v>10.023</v>
      </c>
      <c r="E96" s="10" t="n">
        <v>750</v>
      </c>
      <c r="F96" s="12" t="n">
        <v>74.7</v>
      </c>
      <c r="G96" s="12" t="n">
        <v>25.7</v>
      </c>
      <c r="H96" s="10" t="n">
        <v>47</v>
      </c>
      <c r="I96" s="10" t="n">
        <v>313</v>
      </c>
      <c r="J96" s="7" t="inlineStr">
        <is>
          <t>GA</t>
        </is>
      </c>
      <c r="K96" s="7" t="inlineStr">
        <is>
          <t>SFR</t>
        </is>
      </c>
      <c r="L96" s="7" t="inlineStr">
        <is>
          <t>Meridian Home Loans</t>
        </is>
      </c>
      <c r="M96" s="7" t="inlineStr">
        <is>
          <t>Summit Loan Servicing</t>
        </is>
      </c>
    </row>
    <row r="97">
      <c r="A97" s="5" t="inlineStr">
        <is>
          <t>L100092</t>
        </is>
      </c>
      <c r="B97" s="16" t="n">
        <v>209367.34</v>
      </c>
      <c r="C97" s="16" t="n">
        <v>203577.91</v>
      </c>
      <c r="D97" s="26" t="n">
        <v>7.022</v>
      </c>
      <c r="E97" s="6" t="n">
        <v>722</v>
      </c>
      <c r="F97" s="11" t="n">
        <v>64.8</v>
      </c>
      <c r="G97" s="11" t="n">
        <v>33.3</v>
      </c>
      <c r="H97" s="6" t="n">
        <v>31</v>
      </c>
      <c r="I97" s="6" t="n">
        <v>329</v>
      </c>
      <c r="J97" s="5" t="inlineStr">
        <is>
          <t>FL</t>
        </is>
      </c>
      <c r="K97" s="5" t="inlineStr">
        <is>
          <t>SFR</t>
        </is>
      </c>
      <c r="L97" s="5" t="inlineStr">
        <is>
          <t>Coastal Mortgage Co</t>
        </is>
      </c>
      <c r="M97" s="5" t="inlineStr">
        <is>
          <t>Summit Loan Servicing</t>
        </is>
      </c>
    </row>
    <row r="98">
      <c r="A98" s="7" t="inlineStr">
        <is>
          <t>L100093</t>
        </is>
      </c>
      <c r="B98" s="8" t="n">
        <v>236120.75</v>
      </c>
      <c r="C98" s="8" t="n">
        <v>209001.23</v>
      </c>
      <c r="D98" s="27" t="n">
        <v>6.49</v>
      </c>
      <c r="E98" s="10" t="n">
        <v>760</v>
      </c>
      <c r="F98" s="12" t="n">
        <v>59.8</v>
      </c>
      <c r="G98" s="12" t="n">
        <v>31.8</v>
      </c>
      <c r="H98" s="10" t="n">
        <v>32</v>
      </c>
      <c r="I98" s="10" t="n">
        <v>148</v>
      </c>
      <c r="J98" s="7" t="inlineStr">
        <is>
          <t>NY</t>
        </is>
      </c>
      <c r="K98" s="7" t="inlineStr">
        <is>
          <t>SFR</t>
        </is>
      </c>
      <c r="L98" s="7" t="inlineStr">
        <is>
          <t>Highline Capital</t>
        </is>
      </c>
      <c r="M98" s="7" t="inlineStr">
        <is>
          <t>Summit Loan Servicing</t>
        </is>
      </c>
    </row>
    <row r="99">
      <c r="A99" s="5" t="inlineStr">
        <is>
          <t>L100094</t>
        </is>
      </c>
      <c r="B99" s="16" t="n">
        <v>134515.26</v>
      </c>
      <c r="C99" s="16" t="n">
        <v>132774.71</v>
      </c>
      <c r="D99" s="26" t="n">
        <v>5.232</v>
      </c>
      <c r="E99" s="6" t="n">
        <v>720</v>
      </c>
      <c r="F99" s="11" t="n">
        <v>80.59999999999999</v>
      </c>
      <c r="G99" s="11" t="n">
        <v>39.7</v>
      </c>
      <c r="H99" s="6" t="n">
        <v>11</v>
      </c>
      <c r="I99" s="6" t="n">
        <v>349</v>
      </c>
      <c r="J99" s="5" t="inlineStr">
        <is>
          <t>CA</t>
        </is>
      </c>
      <c r="K99" s="5" t="inlineStr">
        <is>
          <t>Multifamily</t>
        </is>
      </c>
      <c r="L99" s="5" t="inlineStr">
        <is>
          <t>Coastal Mortgage Co</t>
        </is>
      </c>
      <c r="M99" s="5" t="inlineStr">
        <is>
          <t>Northgate Servicing</t>
        </is>
      </c>
    </row>
    <row r="100">
      <c r="A100" s="7" t="inlineStr">
        <is>
          <t>L100095</t>
        </is>
      </c>
      <c r="B100" s="8" t="n">
        <v>146314.05</v>
      </c>
      <c r="C100" s="8" t="n">
        <v>139684.3</v>
      </c>
      <c r="D100" s="27" t="n">
        <v>5.826</v>
      </c>
      <c r="E100" s="10" t="n">
        <v>758</v>
      </c>
      <c r="F100" s="12" t="n">
        <v>52.8</v>
      </c>
      <c r="G100" s="12" t="n">
        <v>44.1</v>
      </c>
      <c r="H100" s="10" t="n">
        <v>40</v>
      </c>
      <c r="I100" s="10" t="n">
        <v>320</v>
      </c>
      <c r="J100" s="7" t="inlineStr">
        <is>
          <t>CA</t>
        </is>
      </c>
      <c r="K100" s="7" t="inlineStr">
        <is>
          <t>SFR</t>
        </is>
      </c>
      <c r="L100" s="7" t="inlineStr">
        <is>
          <t>Highline Capital</t>
        </is>
      </c>
      <c r="M100" s="7" t="inlineStr">
        <is>
          <t>Pier Asset Mgmt</t>
        </is>
      </c>
    </row>
    <row r="101">
      <c r="A101" s="5" t="inlineStr">
        <is>
          <t>L100096</t>
        </is>
      </c>
      <c r="B101" s="16" t="n">
        <v>152825.98</v>
      </c>
      <c r="C101" s="16" t="n">
        <v>146881.66</v>
      </c>
      <c r="D101" s="26" t="n">
        <v>6.208</v>
      </c>
      <c r="E101" s="6" t="n">
        <v>763</v>
      </c>
      <c r="F101" s="11" t="n">
        <v>80.59999999999999</v>
      </c>
      <c r="G101" s="11" t="n">
        <v>43.9</v>
      </c>
      <c r="H101" s="6" t="n">
        <v>37</v>
      </c>
      <c r="I101" s="6" t="n">
        <v>323</v>
      </c>
      <c r="J101" s="5" t="inlineStr">
        <is>
          <t>IL</t>
        </is>
      </c>
      <c r="K101" s="5" t="inlineStr">
        <is>
          <t>SFR</t>
        </is>
      </c>
      <c r="L101" s="5" t="inlineStr">
        <is>
          <t>Coastal Mortgage Co</t>
        </is>
      </c>
      <c r="M101" s="5" t="inlineStr">
        <is>
          <t>Summit Loan Servicing</t>
        </is>
      </c>
    </row>
    <row r="102">
      <c r="A102" s="7" t="inlineStr">
        <is>
          <t>L100097</t>
        </is>
      </c>
      <c r="B102" s="8" t="n">
        <v>171264.36</v>
      </c>
      <c r="C102" s="8" t="n">
        <v>167443.06</v>
      </c>
      <c r="D102" s="27" t="n">
        <v>5.919</v>
      </c>
      <c r="E102" s="10" t="n">
        <v>671</v>
      </c>
      <c r="F102" s="12" t="n">
        <v>83.8</v>
      </c>
      <c r="G102" s="12" t="n">
        <v>29.3</v>
      </c>
      <c r="H102" s="10" t="n">
        <v>21</v>
      </c>
      <c r="I102" s="10" t="n">
        <v>339</v>
      </c>
      <c r="J102" s="7" t="inlineStr">
        <is>
          <t>WA</t>
        </is>
      </c>
      <c r="K102" s="7" t="inlineStr">
        <is>
          <t>SFR</t>
        </is>
      </c>
      <c r="L102" s="7" t="inlineStr">
        <is>
          <t>Coastal Mortgage Co</t>
        </is>
      </c>
      <c r="M102" s="7" t="inlineStr">
        <is>
          <t>Pier Asset Mgmt</t>
        </is>
      </c>
    </row>
    <row r="103">
      <c r="A103" s="5" t="inlineStr">
        <is>
          <t>L100098</t>
        </is>
      </c>
      <c r="B103" s="16" t="n">
        <v>279266.27</v>
      </c>
      <c r="C103" s="16" t="n">
        <v>269674.5</v>
      </c>
      <c r="D103" s="26" t="n">
        <v>6.386</v>
      </c>
      <c r="E103" s="6" t="n">
        <v>616</v>
      </c>
      <c r="F103" s="11" t="n">
        <v>79.2</v>
      </c>
      <c r="G103" s="11" t="n">
        <v>44</v>
      </c>
      <c r="H103" s="6" t="n">
        <v>34</v>
      </c>
      <c r="I103" s="6" t="n">
        <v>326</v>
      </c>
      <c r="J103" s="5" t="inlineStr">
        <is>
          <t>FL</t>
        </is>
      </c>
      <c r="K103" s="5" t="inlineStr">
        <is>
          <t>SFR</t>
        </is>
      </c>
      <c r="L103" s="5" t="inlineStr">
        <is>
          <t>Highline Capital</t>
        </is>
      </c>
      <c r="M103" s="5" t="inlineStr">
        <is>
          <t>Pier Asset Mgmt</t>
        </is>
      </c>
    </row>
    <row r="104">
      <c r="A104" s="7" t="inlineStr">
        <is>
          <t>L100099</t>
        </is>
      </c>
      <c r="B104" s="8" t="n">
        <v>176854.45</v>
      </c>
      <c r="C104" s="8" t="n">
        <v>170650.92</v>
      </c>
      <c r="D104" s="27" t="n">
        <v>8</v>
      </c>
      <c r="E104" s="10" t="n">
        <v>800</v>
      </c>
      <c r="F104" s="12" t="n">
        <v>71.40000000000001</v>
      </c>
      <c r="G104" s="12" t="n">
        <v>35.6</v>
      </c>
      <c r="H104" s="10" t="n">
        <v>45</v>
      </c>
      <c r="I104" s="10" t="n">
        <v>315</v>
      </c>
      <c r="J104" s="7" t="inlineStr">
        <is>
          <t>FL</t>
        </is>
      </c>
      <c r="K104" s="7" t="inlineStr">
        <is>
          <t>SFR</t>
        </is>
      </c>
      <c r="L104" s="7" t="inlineStr">
        <is>
          <t>Coastal Mortgage Co</t>
        </is>
      </c>
      <c r="M104" s="7" t="inlineStr">
        <is>
          <t>Summit Loan Servicing</t>
        </is>
      </c>
    </row>
    <row r="105">
      <c r="A105" s="5" t="inlineStr">
        <is>
          <t>L100100</t>
        </is>
      </c>
      <c r="B105" s="16" t="n">
        <v>212701.09</v>
      </c>
      <c r="C105" s="16" t="n">
        <v>192380.31</v>
      </c>
      <c r="D105" s="26" t="n">
        <v>7.522</v>
      </c>
      <c r="E105" s="6" t="n">
        <v>729</v>
      </c>
      <c r="F105" s="11" t="n">
        <v>80.8</v>
      </c>
      <c r="G105" s="11" t="n">
        <v>33.4</v>
      </c>
      <c r="H105" s="6" t="n">
        <v>29</v>
      </c>
      <c r="I105" s="6" t="n">
        <v>151</v>
      </c>
      <c r="J105" s="5" t="inlineStr">
        <is>
          <t>FL</t>
        </is>
      </c>
      <c r="K105" s="5" t="inlineStr">
        <is>
          <t>SFR</t>
        </is>
      </c>
      <c r="L105" s="5" t="inlineStr">
        <is>
          <t>Apex Funding</t>
        </is>
      </c>
      <c r="M105" s="5" t="inlineStr">
        <is>
          <t>Summit Loan Servicing</t>
        </is>
      </c>
    </row>
    <row r="106">
      <c r="A106" s="7" t="inlineStr">
        <is>
          <t>L100101</t>
        </is>
      </c>
      <c r="B106" s="8" t="n">
        <v>382594.1</v>
      </c>
      <c r="C106" s="8" t="n">
        <v>369417.88</v>
      </c>
      <c r="D106" s="27" t="n">
        <v>6.257</v>
      </c>
      <c r="E106" s="10" t="n">
        <v>621</v>
      </c>
      <c r="F106" s="12" t="n">
        <v>76.09999999999999</v>
      </c>
      <c r="G106" s="12" t="n">
        <v>30.3</v>
      </c>
      <c r="H106" s="10" t="n">
        <v>10</v>
      </c>
      <c r="I106" s="10" t="n">
        <v>170</v>
      </c>
      <c r="J106" s="7" t="inlineStr">
        <is>
          <t>WA</t>
        </is>
      </c>
      <c r="K106" s="7" t="inlineStr">
        <is>
          <t>SFR</t>
        </is>
      </c>
      <c r="L106" s="7" t="inlineStr">
        <is>
          <t>Apex Funding</t>
        </is>
      </c>
      <c r="M106" s="7" t="inlineStr">
        <is>
          <t>Pier Asset Mgmt</t>
        </is>
      </c>
    </row>
    <row r="107">
      <c r="A107" s="5" t="inlineStr">
        <is>
          <t>L100102</t>
        </is>
      </c>
      <c r="B107" s="16" t="n">
        <v>214337.6</v>
      </c>
      <c r="C107" s="16" t="n">
        <v>210318.15</v>
      </c>
      <c r="D107" s="26" t="n">
        <v>5.313</v>
      </c>
      <c r="E107" s="6" t="n">
        <v>676</v>
      </c>
      <c r="F107" s="11" t="n">
        <v>64.7</v>
      </c>
      <c r="G107" s="11" t="n">
        <v>31.5</v>
      </c>
      <c r="H107" s="6" t="n">
        <v>16</v>
      </c>
      <c r="I107" s="6" t="n">
        <v>344</v>
      </c>
      <c r="J107" s="5" t="inlineStr">
        <is>
          <t>NC</t>
        </is>
      </c>
      <c r="K107" s="5" t="inlineStr">
        <is>
          <t>SFR</t>
        </is>
      </c>
      <c r="L107" s="5" t="inlineStr">
        <is>
          <t>Apex Funding</t>
        </is>
      </c>
      <c r="M107" s="5" t="inlineStr">
        <is>
          <t>Northgate Servicing</t>
        </is>
      </c>
    </row>
    <row r="108">
      <c r="A108" s="7" t="inlineStr">
        <is>
          <t>L100103</t>
        </is>
      </c>
      <c r="B108" s="8" t="n">
        <v>314308.56</v>
      </c>
      <c r="C108" s="8" t="n">
        <v>312199.63</v>
      </c>
      <c r="D108" s="27" t="n">
        <v>7.604</v>
      </c>
      <c r="E108" s="10" t="n">
        <v>757</v>
      </c>
      <c r="F108" s="12" t="n">
        <v>96.2</v>
      </c>
      <c r="G108" s="12" t="n">
        <v>49.9</v>
      </c>
      <c r="H108" s="10" t="n">
        <v>9</v>
      </c>
      <c r="I108" s="10" t="n">
        <v>351</v>
      </c>
      <c r="J108" s="7" t="inlineStr">
        <is>
          <t>NC</t>
        </is>
      </c>
      <c r="K108" s="7" t="inlineStr">
        <is>
          <t>2-4 Unit</t>
        </is>
      </c>
      <c r="L108" s="7" t="inlineStr">
        <is>
          <t>Apex Funding</t>
        </is>
      </c>
      <c r="M108" s="7" t="inlineStr">
        <is>
          <t>Summit Loan Servicing</t>
        </is>
      </c>
    </row>
    <row r="109">
      <c r="A109" s="5" t="inlineStr">
        <is>
          <t>L100104</t>
        </is>
      </c>
      <c r="B109" s="16" t="n">
        <v>175121.24</v>
      </c>
      <c r="C109" s="16" t="n">
        <v>172410.45</v>
      </c>
      <c r="D109" s="26" t="n">
        <v>6.356</v>
      </c>
      <c r="E109" s="6" t="n">
        <v>700</v>
      </c>
      <c r="F109" s="11" t="n">
        <v>69.8</v>
      </c>
      <c r="G109" s="11" t="n">
        <v>38.5</v>
      </c>
      <c r="H109" s="6" t="n">
        <v>16</v>
      </c>
      <c r="I109" s="6" t="n">
        <v>344</v>
      </c>
      <c r="J109" s="5" t="inlineStr">
        <is>
          <t>TX</t>
        </is>
      </c>
      <c r="K109" s="5" t="inlineStr">
        <is>
          <t>SFR</t>
        </is>
      </c>
      <c r="L109" s="5" t="inlineStr">
        <is>
          <t>Highline Capital</t>
        </is>
      </c>
      <c r="M109" s="5" t="inlineStr">
        <is>
          <t>Pier Asset Mgmt</t>
        </is>
      </c>
    </row>
    <row r="110">
      <c r="A110" s="7" t="inlineStr">
        <is>
          <t>L100105</t>
        </is>
      </c>
      <c r="B110" s="8" t="n">
        <v>225956.29</v>
      </c>
      <c r="C110" s="8" t="n">
        <v>213199.31</v>
      </c>
      <c r="D110" s="27" t="n">
        <v>4.846</v>
      </c>
      <c r="E110" s="10" t="n">
        <v>687</v>
      </c>
      <c r="F110" s="12" t="n">
        <v>83.3</v>
      </c>
      <c r="G110" s="12" t="n">
        <v>37.4</v>
      </c>
      <c r="H110" s="10" t="n">
        <v>42</v>
      </c>
      <c r="I110" s="10" t="n">
        <v>318</v>
      </c>
      <c r="J110" s="7" t="inlineStr">
        <is>
          <t>WA</t>
        </is>
      </c>
      <c r="K110" s="7" t="inlineStr">
        <is>
          <t>SFR</t>
        </is>
      </c>
      <c r="L110" s="7" t="inlineStr">
        <is>
          <t>Coastal Mortgage Co</t>
        </is>
      </c>
      <c r="M110" s="7" t="inlineStr">
        <is>
          <t>Northgate Servicing</t>
        </is>
      </c>
    </row>
    <row r="111">
      <c r="A111" s="5" t="inlineStr">
        <is>
          <t>L100106</t>
        </is>
      </c>
      <c r="B111" s="16" t="n">
        <v>174118.66</v>
      </c>
      <c r="C111" s="16" t="n">
        <v>172814.18</v>
      </c>
      <c r="D111" s="26" t="n">
        <v>7.041</v>
      </c>
      <c r="E111" s="6" t="n">
        <v>792</v>
      </c>
      <c r="F111" s="11" t="n">
        <v>45</v>
      </c>
      <c r="G111" s="11" t="n">
        <v>33.9</v>
      </c>
      <c r="H111" s="6" t="n">
        <v>9</v>
      </c>
      <c r="I111" s="6" t="n">
        <v>351</v>
      </c>
      <c r="J111" s="5" t="inlineStr">
        <is>
          <t>TX</t>
        </is>
      </c>
      <c r="K111" s="5" t="inlineStr">
        <is>
          <t>SFR</t>
        </is>
      </c>
      <c r="L111" s="5" t="inlineStr">
        <is>
          <t>Coastal Mortgage Co</t>
        </is>
      </c>
      <c r="M111" s="5" t="inlineStr">
        <is>
          <t>Northgate Servicing</t>
        </is>
      </c>
    </row>
    <row r="112">
      <c r="A112" s="7" t="inlineStr">
        <is>
          <t>L100107</t>
        </is>
      </c>
      <c r="B112" s="8" t="n">
        <v>215634.13</v>
      </c>
      <c r="C112" s="8" t="n">
        <v>207724.57</v>
      </c>
      <c r="D112" s="27" t="n">
        <v>7.323</v>
      </c>
      <c r="E112" s="10" t="n">
        <v>657</v>
      </c>
      <c r="F112" s="12" t="n">
        <v>89.3</v>
      </c>
      <c r="G112" s="12" t="n">
        <v>55</v>
      </c>
      <c r="H112" s="10" t="n">
        <v>42</v>
      </c>
      <c r="I112" s="10" t="n">
        <v>318</v>
      </c>
      <c r="J112" s="7" t="inlineStr">
        <is>
          <t>WA</t>
        </is>
      </c>
      <c r="K112" s="7" t="inlineStr">
        <is>
          <t>SFR</t>
        </is>
      </c>
      <c r="L112" s="7" t="inlineStr">
        <is>
          <t>Apex Funding</t>
        </is>
      </c>
      <c r="M112" s="7" t="inlineStr">
        <is>
          <t>Pier Asset Mgmt</t>
        </is>
      </c>
    </row>
    <row r="113">
      <c r="A113" s="5" t="inlineStr">
        <is>
          <t>L100108</t>
        </is>
      </c>
      <c r="B113" s="16" t="n">
        <v>325822.44</v>
      </c>
      <c r="C113" s="16" t="n">
        <v>319354.03</v>
      </c>
      <c r="D113" s="26" t="n">
        <v>4.217</v>
      </c>
      <c r="E113" s="6" t="n">
        <v>671</v>
      </c>
      <c r="F113" s="11" t="n">
        <v>91.59999999999999</v>
      </c>
      <c r="G113" s="11" t="n">
        <v>46.4</v>
      </c>
      <c r="H113" s="6" t="n">
        <v>14</v>
      </c>
      <c r="I113" s="6" t="n">
        <v>346</v>
      </c>
      <c r="J113" s="5" t="inlineStr">
        <is>
          <t>WA</t>
        </is>
      </c>
      <c r="K113" s="5" t="inlineStr">
        <is>
          <t>SFR</t>
        </is>
      </c>
      <c r="L113" s="5" t="inlineStr">
        <is>
          <t>Coastal Mortgage Co</t>
        </is>
      </c>
      <c r="M113" s="5" t="inlineStr">
        <is>
          <t>Summit Loan Servicing</t>
        </is>
      </c>
    </row>
    <row r="114">
      <c r="A114" s="7" t="inlineStr">
        <is>
          <t>L100109</t>
        </is>
      </c>
      <c r="B114" s="8" t="n">
        <v>132645.82</v>
      </c>
      <c r="C114" s="8" t="n">
        <v>129073.73</v>
      </c>
      <c r="D114" s="27" t="n">
        <v>5.658</v>
      </c>
      <c r="E114" s="10" t="n">
        <v>727</v>
      </c>
      <c r="F114" s="12" t="n">
        <v>74.40000000000001</v>
      </c>
      <c r="G114" s="12" t="n">
        <v>30.2</v>
      </c>
      <c r="H114" s="10" t="n">
        <v>24</v>
      </c>
      <c r="I114" s="10" t="n">
        <v>336</v>
      </c>
      <c r="J114" s="7" t="inlineStr">
        <is>
          <t>GA</t>
        </is>
      </c>
      <c r="K114" s="7" t="inlineStr">
        <is>
          <t>SFR</t>
        </is>
      </c>
      <c r="L114" s="7" t="inlineStr">
        <is>
          <t>Meridian Home Loans</t>
        </is>
      </c>
      <c r="M114" s="7" t="inlineStr">
        <is>
          <t>Northgate Servicing</t>
        </is>
      </c>
    </row>
    <row r="115">
      <c r="A115" s="5" t="inlineStr">
        <is>
          <t>L100110</t>
        </is>
      </c>
      <c r="B115" s="16" t="n">
        <v>282673.63</v>
      </c>
      <c r="C115" s="16" t="n">
        <v>275598.31</v>
      </c>
      <c r="D115" s="26" t="n">
        <v>6.301</v>
      </c>
      <c r="E115" s="6" t="n">
        <v>736</v>
      </c>
      <c r="F115" s="11" t="n">
        <v>80.7</v>
      </c>
      <c r="G115" s="11" t="n">
        <v>33.8</v>
      </c>
      <c r="H115" s="6" t="n">
        <v>25</v>
      </c>
      <c r="I115" s="6" t="n">
        <v>335</v>
      </c>
      <c r="J115" s="5" t="inlineStr">
        <is>
          <t>OH</t>
        </is>
      </c>
      <c r="K115" s="5" t="inlineStr">
        <is>
          <t>SFR</t>
        </is>
      </c>
      <c r="L115" s="5" t="inlineStr">
        <is>
          <t>Coastal Mortgage Co</t>
        </is>
      </c>
      <c r="M115" s="5" t="inlineStr">
        <is>
          <t>Summit Loan Servicing</t>
        </is>
      </c>
    </row>
    <row r="116">
      <c r="A116" s="7" t="inlineStr">
        <is>
          <t>L100111</t>
        </is>
      </c>
      <c r="B116" s="8" t="n">
        <v>263868.85</v>
      </c>
      <c r="C116" s="8" t="n">
        <v>262567.63</v>
      </c>
      <c r="D116" s="27" t="n">
        <v>7.061</v>
      </c>
      <c r="E116" s="10" t="n">
        <v>742</v>
      </c>
      <c r="F116" s="12" t="n">
        <v>80.7</v>
      </c>
      <c r="G116" s="12" t="n">
        <v>34.3</v>
      </c>
      <c r="H116" s="10" t="n">
        <v>6</v>
      </c>
      <c r="I116" s="10" t="n">
        <v>354</v>
      </c>
      <c r="J116" s="7" t="inlineStr">
        <is>
          <t>WA</t>
        </is>
      </c>
      <c r="K116" s="7" t="inlineStr">
        <is>
          <t>SFR</t>
        </is>
      </c>
      <c r="L116" s="7" t="inlineStr">
        <is>
          <t>Apex Funding</t>
        </is>
      </c>
      <c r="M116" s="7" t="inlineStr">
        <is>
          <t>Northgate Servicing</t>
        </is>
      </c>
    </row>
    <row r="117">
      <c r="A117" s="5" t="inlineStr">
        <is>
          <t>L100112</t>
        </is>
      </c>
      <c r="B117" s="16" t="n">
        <v>197214.55</v>
      </c>
      <c r="C117" s="16" t="n">
        <v>195390.06</v>
      </c>
      <c r="D117" s="26" t="n">
        <v>5.936</v>
      </c>
      <c r="E117" s="6" t="n">
        <v>765</v>
      </c>
      <c r="F117" s="11" t="n">
        <v>66.3</v>
      </c>
      <c r="G117" s="11" t="n">
        <v>37.2</v>
      </c>
      <c r="H117" s="6" t="n">
        <v>9</v>
      </c>
      <c r="I117" s="6" t="n">
        <v>351</v>
      </c>
      <c r="J117" s="5" t="inlineStr">
        <is>
          <t>GA</t>
        </is>
      </c>
      <c r="K117" s="5" t="inlineStr">
        <is>
          <t>SFR</t>
        </is>
      </c>
      <c r="L117" s="5" t="inlineStr">
        <is>
          <t>Apex Funding</t>
        </is>
      </c>
      <c r="M117" s="5" t="inlineStr">
        <is>
          <t>Pier Asset Mgmt</t>
        </is>
      </c>
    </row>
    <row r="118">
      <c r="A118" s="7" t="inlineStr">
        <is>
          <t>L100113</t>
        </is>
      </c>
      <c r="B118" s="8" t="n">
        <v>146368.07</v>
      </c>
      <c r="C118" s="8" t="n">
        <v>138329.84</v>
      </c>
      <c r="D118" s="27" t="n">
        <v>5.651</v>
      </c>
      <c r="E118" s="10" t="n">
        <v>726</v>
      </c>
      <c r="F118" s="12" t="n">
        <v>80.59999999999999</v>
      </c>
      <c r="G118" s="12" t="n">
        <v>30.4</v>
      </c>
      <c r="H118" s="10" t="n">
        <v>15</v>
      </c>
      <c r="I118" s="10" t="n">
        <v>165</v>
      </c>
      <c r="J118" s="7" t="inlineStr">
        <is>
          <t>AZ</t>
        </is>
      </c>
      <c r="K118" s="7" t="inlineStr">
        <is>
          <t>2-4 Unit</t>
        </is>
      </c>
      <c r="L118" s="7" t="inlineStr">
        <is>
          <t>Coastal Mortgage Co</t>
        </is>
      </c>
      <c r="M118" s="7" t="inlineStr">
        <is>
          <t>Northgate Servicing</t>
        </is>
      </c>
    </row>
    <row r="119">
      <c r="A119" s="5" t="inlineStr">
        <is>
          <t>L100114</t>
        </is>
      </c>
      <c r="B119" s="16" t="n">
        <v>249009.25</v>
      </c>
      <c r="C119" s="16" t="n">
        <v>248399.85</v>
      </c>
      <c r="D119" s="26" t="n">
        <v>7.054</v>
      </c>
      <c r="E119" s="6" t="n">
        <v>742</v>
      </c>
      <c r="F119" s="11" t="n">
        <v>64.3</v>
      </c>
      <c r="G119" s="11" t="n">
        <v>39.5</v>
      </c>
      <c r="H119" s="6" t="n">
        <v>3</v>
      </c>
      <c r="I119" s="6" t="n">
        <v>357</v>
      </c>
      <c r="J119" s="5" t="inlineStr">
        <is>
          <t>GA</t>
        </is>
      </c>
      <c r="K119" s="5" t="inlineStr">
        <is>
          <t>Multifamily</t>
        </is>
      </c>
      <c r="L119" s="5" t="inlineStr">
        <is>
          <t>Apex Funding</t>
        </is>
      </c>
      <c r="M119" s="5" t="inlineStr">
        <is>
          <t>Pier Asset Mgmt</t>
        </is>
      </c>
    </row>
    <row r="120">
      <c r="A120" s="7" t="inlineStr">
        <is>
          <t>L100115</t>
        </is>
      </c>
      <c r="B120" s="8" t="n">
        <v>201728.41</v>
      </c>
      <c r="C120" s="8" t="n">
        <v>193799.57</v>
      </c>
      <c r="D120" s="27" t="n">
        <v>5.979</v>
      </c>
      <c r="E120" s="10" t="n">
        <v>701</v>
      </c>
      <c r="F120" s="12" t="n">
        <v>66.7</v>
      </c>
      <c r="G120" s="12" t="n">
        <v>47.6</v>
      </c>
      <c r="H120" s="10" t="n">
        <v>36</v>
      </c>
      <c r="I120" s="10" t="n">
        <v>324</v>
      </c>
      <c r="J120" s="7" t="inlineStr">
        <is>
          <t>GA</t>
        </is>
      </c>
      <c r="K120" s="7" t="inlineStr">
        <is>
          <t>2-4 Unit</t>
        </is>
      </c>
      <c r="L120" s="7" t="inlineStr">
        <is>
          <t>Coastal Mortgage Co</t>
        </is>
      </c>
      <c r="M120" s="7" t="inlineStr">
        <is>
          <t>Summit Loan Servicing</t>
        </is>
      </c>
    </row>
    <row r="121">
      <c r="A121" s="5" t="inlineStr">
        <is>
          <t>L100116</t>
        </is>
      </c>
      <c r="B121" s="16" t="n">
        <v>263402</v>
      </c>
      <c r="C121" s="16" t="n">
        <v>239944.59</v>
      </c>
      <c r="D121" s="26" t="n">
        <v>6.888</v>
      </c>
      <c r="E121" s="6" t="n">
        <v>718</v>
      </c>
      <c r="F121" s="11" t="n">
        <v>87.5</v>
      </c>
      <c r="G121" s="11" t="n">
        <v>25.5</v>
      </c>
      <c r="H121" s="6" t="n">
        <v>26</v>
      </c>
      <c r="I121" s="6" t="n">
        <v>154</v>
      </c>
      <c r="J121" s="5" t="inlineStr">
        <is>
          <t>NY</t>
        </is>
      </c>
      <c r="K121" s="5" t="inlineStr">
        <is>
          <t>SFR</t>
        </is>
      </c>
      <c r="L121" s="5" t="inlineStr">
        <is>
          <t>Apex Funding</t>
        </is>
      </c>
      <c r="M121" s="5" t="inlineStr">
        <is>
          <t>Northgate Servicing</t>
        </is>
      </c>
    </row>
    <row r="122">
      <c r="A122" s="7" t="inlineStr">
        <is>
          <t>L100117</t>
        </is>
      </c>
      <c r="B122" s="8" t="n">
        <v>244665.74</v>
      </c>
      <c r="C122" s="8" t="n">
        <v>232735.9</v>
      </c>
      <c r="D122" s="27" t="n">
        <v>5.4</v>
      </c>
      <c r="E122" s="10" t="n">
        <v>721</v>
      </c>
      <c r="F122" s="12" t="n">
        <v>85.7</v>
      </c>
      <c r="G122" s="12" t="n">
        <v>27</v>
      </c>
      <c r="H122" s="10" t="n">
        <v>40</v>
      </c>
      <c r="I122" s="10" t="n">
        <v>320</v>
      </c>
      <c r="J122" s="7" t="inlineStr">
        <is>
          <t>NC</t>
        </is>
      </c>
      <c r="K122" s="7" t="inlineStr">
        <is>
          <t>Condo</t>
        </is>
      </c>
      <c r="L122" s="7" t="inlineStr">
        <is>
          <t>Coastal Mortgage Co</t>
        </is>
      </c>
      <c r="M122" s="7" t="inlineStr">
        <is>
          <t>Pier Asset Mgmt</t>
        </is>
      </c>
    </row>
    <row r="123">
      <c r="A123" s="5" t="inlineStr">
        <is>
          <t>L100118</t>
        </is>
      </c>
      <c r="B123" s="16" t="n">
        <v>425330.85</v>
      </c>
      <c r="C123" s="16" t="n">
        <v>355204.68</v>
      </c>
      <c r="D123" s="26" t="n">
        <v>5.183</v>
      </c>
      <c r="E123" s="6" t="n">
        <v>727</v>
      </c>
      <c r="F123" s="11" t="n">
        <v>65.5</v>
      </c>
      <c r="G123" s="11" t="n">
        <v>32.1</v>
      </c>
      <c r="H123" s="6" t="n">
        <v>41</v>
      </c>
      <c r="I123" s="6" t="n">
        <v>139</v>
      </c>
      <c r="J123" s="5" t="inlineStr">
        <is>
          <t>FL</t>
        </is>
      </c>
      <c r="K123" s="5" t="inlineStr">
        <is>
          <t>SFR</t>
        </is>
      </c>
      <c r="L123" s="5" t="inlineStr">
        <is>
          <t>Highline Capital</t>
        </is>
      </c>
      <c r="M123" s="5" t="inlineStr">
        <is>
          <t>Summit Loan Servicing</t>
        </is>
      </c>
    </row>
    <row r="124">
      <c r="A124" s="7" t="inlineStr">
        <is>
          <t>L100119</t>
        </is>
      </c>
      <c r="B124" s="8" t="n">
        <v>223289.75</v>
      </c>
      <c r="C124" s="8" t="n">
        <v>210818.6</v>
      </c>
      <c r="D124" s="27" t="n">
        <v>7.08</v>
      </c>
      <c r="E124" s="10" t="n">
        <v>757</v>
      </c>
      <c r="F124" s="12" t="n">
        <v>65.2</v>
      </c>
      <c r="G124" s="12" t="n">
        <v>32.5</v>
      </c>
      <c r="H124" s="10" t="n">
        <v>17</v>
      </c>
      <c r="I124" s="10" t="n">
        <v>163</v>
      </c>
      <c r="J124" s="7" t="inlineStr">
        <is>
          <t>TX</t>
        </is>
      </c>
      <c r="K124" s="7" t="inlineStr">
        <is>
          <t>SFR</t>
        </is>
      </c>
      <c r="L124" s="7" t="inlineStr">
        <is>
          <t>Apex Funding</t>
        </is>
      </c>
      <c r="M124" s="7" t="inlineStr">
        <is>
          <t>Summit Loan Servicing</t>
        </is>
      </c>
    </row>
    <row r="125">
      <c r="A125" s="5" t="inlineStr">
        <is>
          <t>L100120</t>
        </is>
      </c>
      <c r="B125" s="16" t="n">
        <v>169698.04</v>
      </c>
      <c r="C125" s="16" t="n">
        <v>163204.9</v>
      </c>
      <c r="D125" s="26" t="n">
        <v>6.627</v>
      </c>
      <c r="E125" s="6" t="n">
        <v>746</v>
      </c>
      <c r="F125" s="11" t="n">
        <v>66.3</v>
      </c>
      <c r="G125" s="11" t="n">
        <v>52</v>
      </c>
      <c r="H125" s="6" t="n">
        <v>39</v>
      </c>
      <c r="I125" s="6" t="n">
        <v>321</v>
      </c>
      <c r="J125" s="5" t="inlineStr">
        <is>
          <t>FL</t>
        </is>
      </c>
      <c r="K125" s="5" t="inlineStr">
        <is>
          <t>Multifamily</t>
        </is>
      </c>
      <c r="L125" s="5" t="inlineStr">
        <is>
          <t>Apex Funding</t>
        </is>
      </c>
      <c r="M125" s="5" t="inlineStr">
        <is>
          <t>Pier Asset Mgmt</t>
        </is>
      </c>
    </row>
    <row r="126">
      <c r="A126" s="7" t="inlineStr">
        <is>
          <t>L100121</t>
        </is>
      </c>
      <c r="B126" s="8" t="n">
        <v>258524.69</v>
      </c>
      <c r="C126" s="8" t="n">
        <v>257913.59</v>
      </c>
      <c r="D126" s="27" t="n">
        <v>7.23</v>
      </c>
      <c r="E126" s="10" t="n">
        <v>717</v>
      </c>
      <c r="F126" s="12" t="n">
        <v>82.8</v>
      </c>
      <c r="G126" s="12" t="n">
        <v>44</v>
      </c>
      <c r="H126" s="10" t="n">
        <v>3</v>
      </c>
      <c r="I126" s="10" t="n">
        <v>357</v>
      </c>
      <c r="J126" s="7" t="inlineStr">
        <is>
          <t>CA</t>
        </is>
      </c>
      <c r="K126" s="7" t="inlineStr">
        <is>
          <t>Condo</t>
        </is>
      </c>
      <c r="L126" s="7" t="inlineStr">
        <is>
          <t>Coastal Mortgage Co</t>
        </is>
      </c>
      <c r="M126" s="7" t="inlineStr">
        <is>
          <t>Summit Loan Servicing</t>
        </is>
      </c>
    </row>
    <row r="127">
      <c r="A127" s="5" t="inlineStr">
        <is>
          <t>L100122</t>
        </is>
      </c>
      <c r="B127" s="16" t="n">
        <v>262235.66</v>
      </c>
      <c r="C127" s="16" t="n">
        <v>256386.71</v>
      </c>
      <c r="D127" s="26" t="n">
        <v>5.921</v>
      </c>
      <c r="E127" s="6" t="n">
        <v>670</v>
      </c>
      <c r="F127" s="11" t="n">
        <v>62</v>
      </c>
      <c r="G127" s="11" t="n">
        <v>43.6</v>
      </c>
      <c r="H127" s="6" t="n">
        <v>21</v>
      </c>
      <c r="I127" s="6" t="n">
        <v>339</v>
      </c>
      <c r="J127" s="5" t="inlineStr">
        <is>
          <t>WA</t>
        </is>
      </c>
      <c r="K127" s="5" t="inlineStr">
        <is>
          <t>SFR</t>
        </is>
      </c>
      <c r="L127" s="5" t="inlineStr">
        <is>
          <t>Highline Capital</t>
        </is>
      </c>
      <c r="M127" s="5" t="inlineStr">
        <is>
          <t>Summit Loan Servicing</t>
        </is>
      </c>
    </row>
    <row r="128">
      <c r="A128" s="7" t="inlineStr">
        <is>
          <t>L100123</t>
        </is>
      </c>
      <c r="B128" s="8" t="n">
        <v>390707.96</v>
      </c>
      <c r="C128" s="8" t="n">
        <v>376472.11</v>
      </c>
      <c r="D128" s="27" t="n">
        <v>5.684</v>
      </c>
      <c r="E128" s="10" t="n">
        <v>719</v>
      </c>
      <c r="F128" s="12" t="n">
        <v>78.3</v>
      </c>
      <c r="G128" s="12" t="n">
        <v>33.9</v>
      </c>
      <c r="H128" s="10" t="n">
        <v>32</v>
      </c>
      <c r="I128" s="10" t="n">
        <v>328</v>
      </c>
      <c r="J128" s="7" t="inlineStr">
        <is>
          <t>FL</t>
        </is>
      </c>
      <c r="K128" s="7" t="inlineStr">
        <is>
          <t>Multifamily</t>
        </is>
      </c>
      <c r="L128" s="7" t="inlineStr">
        <is>
          <t>Coastal Mortgage Co</t>
        </is>
      </c>
      <c r="M128" s="7" t="inlineStr">
        <is>
          <t>Pier Asset Mgmt</t>
        </is>
      </c>
    </row>
    <row r="129">
      <c r="A129" s="5" t="inlineStr">
        <is>
          <t>L100124</t>
        </is>
      </c>
      <c r="B129" s="16" t="n">
        <v>325230.34</v>
      </c>
      <c r="C129" s="16" t="n">
        <v>319691.11</v>
      </c>
      <c r="D129" s="26" t="n">
        <v>7.625</v>
      </c>
      <c r="E129" s="6" t="n">
        <v>713</v>
      </c>
      <c r="F129" s="11" t="n">
        <v>83</v>
      </c>
      <c r="G129" s="11" t="n">
        <v>33.7</v>
      </c>
      <c r="H129" s="6" t="n">
        <v>22</v>
      </c>
      <c r="I129" s="6" t="n">
        <v>338</v>
      </c>
      <c r="J129" s="5" t="inlineStr">
        <is>
          <t>AZ</t>
        </is>
      </c>
      <c r="K129" s="5" t="inlineStr">
        <is>
          <t>SFR</t>
        </is>
      </c>
      <c r="L129" s="5" t="inlineStr">
        <is>
          <t>Highline Capital</t>
        </is>
      </c>
      <c r="M129" s="5" t="inlineStr">
        <is>
          <t>Summit Loan Servicing</t>
        </is>
      </c>
    </row>
    <row r="130">
      <c r="A130" s="7" t="inlineStr">
        <is>
          <t>L100125</t>
        </is>
      </c>
      <c r="B130" s="8" t="n">
        <v>275104.11</v>
      </c>
      <c r="C130" s="8" t="n">
        <v>236485.58</v>
      </c>
      <c r="D130" s="27" t="n">
        <v>5.029</v>
      </c>
      <c r="E130" s="10" t="n">
        <v>726</v>
      </c>
      <c r="F130" s="12" t="n">
        <v>72.90000000000001</v>
      </c>
      <c r="G130" s="12" t="n">
        <v>24.4</v>
      </c>
      <c r="H130" s="10" t="n">
        <v>35</v>
      </c>
      <c r="I130" s="10" t="n">
        <v>145</v>
      </c>
      <c r="J130" s="7" t="inlineStr">
        <is>
          <t>IL</t>
        </is>
      </c>
      <c r="K130" s="7" t="inlineStr">
        <is>
          <t>SFR</t>
        </is>
      </c>
      <c r="L130" s="7" t="inlineStr">
        <is>
          <t>Meridian Home Loans</t>
        </is>
      </c>
      <c r="M130" s="7" t="inlineStr">
        <is>
          <t>Northgate Servicing</t>
        </is>
      </c>
    </row>
    <row r="131">
      <c r="A131" s="5" t="inlineStr">
        <is>
          <t>L100126</t>
        </is>
      </c>
      <c r="B131" s="16" t="n">
        <v>405208.09</v>
      </c>
      <c r="C131" s="16" t="n">
        <v>391270.69</v>
      </c>
      <c r="D131" s="26" t="n">
        <v>7.526</v>
      </c>
      <c r="E131" s="6" t="n">
        <v>820</v>
      </c>
      <c r="F131" s="11" t="n">
        <v>86.09999999999999</v>
      </c>
      <c r="G131" s="11" t="n">
        <v>42.3</v>
      </c>
      <c r="H131" s="6" t="n">
        <v>41</v>
      </c>
      <c r="I131" s="6" t="n">
        <v>319</v>
      </c>
      <c r="J131" s="5" t="inlineStr">
        <is>
          <t>NY</t>
        </is>
      </c>
      <c r="K131" s="5" t="inlineStr">
        <is>
          <t>SFR</t>
        </is>
      </c>
      <c r="L131" s="5" t="inlineStr">
        <is>
          <t>Highline Capital</t>
        </is>
      </c>
      <c r="M131" s="5" t="inlineStr">
        <is>
          <t>Summit Loan Servicing</t>
        </is>
      </c>
    </row>
    <row r="132">
      <c r="A132" s="7" t="inlineStr">
        <is>
          <t>L100127</t>
        </is>
      </c>
      <c r="B132" s="8" t="n">
        <v>160160.69</v>
      </c>
      <c r="C132" s="8" t="n">
        <v>157679.23</v>
      </c>
      <c r="D132" s="27" t="n">
        <v>7.588</v>
      </c>
      <c r="E132" s="10" t="n">
        <v>686</v>
      </c>
      <c r="F132" s="12" t="n">
        <v>70.3</v>
      </c>
      <c r="G132" s="12" t="n">
        <v>39.9</v>
      </c>
      <c r="H132" s="10" t="n">
        <v>20</v>
      </c>
      <c r="I132" s="10" t="n">
        <v>340</v>
      </c>
      <c r="J132" s="7" t="inlineStr">
        <is>
          <t>FL</t>
        </is>
      </c>
      <c r="K132" s="7" t="inlineStr">
        <is>
          <t>SFR</t>
        </is>
      </c>
      <c r="L132" s="7" t="inlineStr">
        <is>
          <t>Highline Capital</t>
        </is>
      </c>
      <c r="M132" s="7" t="inlineStr">
        <is>
          <t>Northgate Servicing</t>
        </is>
      </c>
    </row>
    <row r="133">
      <c r="A133" s="5" t="inlineStr">
        <is>
          <t>L100128</t>
        </is>
      </c>
      <c r="B133" s="16" t="n">
        <v>194091.89</v>
      </c>
      <c r="C133" s="16" t="n">
        <v>192020.35</v>
      </c>
      <c r="D133" s="26" t="n">
        <v>7.174</v>
      </c>
      <c r="E133" s="6" t="n">
        <v>738</v>
      </c>
      <c r="F133" s="11" t="n">
        <v>71.40000000000001</v>
      </c>
      <c r="G133" s="11" t="n">
        <v>46.3</v>
      </c>
      <c r="H133" s="6" t="n">
        <v>13</v>
      </c>
      <c r="I133" s="6" t="n">
        <v>347</v>
      </c>
      <c r="J133" s="5" t="inlineStr">
        <is>
          <t>OH</t>
        </is>
      </c>
      <c r="K133" s="5" t="inlineStr">
        <is>
          <t>Multifamily</t>
        </is>
      </c>
      <c r="L133" s="5" t="inlineStr">
        <is>
          <t>Meridian Home Loans</t>
        </is>
      </c>
      <c r="M133" s="5" t="inlineStr">
        <is>
          <t>Summit Loan Servicing</t>
        </is>
      </c>
    </row>
    <row r="134">
      <c r="A134" s="7" t="inlineStr">
        <is>
          <t>L100129</t>
        </is>
      </c>
      <c r="B134" s="8" t="n">
        <v>175553.38</v>
      </c>
      <c r="C134" s="8" t="n">
        <v>170105.31</v>
      </c>
      <c r="D134" s="27" t="n">
        <v>5.781</v>
      </c>
      <c r="E134" s="10" t="n">
        <v>774</v>
      </c>
      <c r="F134" s="12" t="n">
        <v>62.3</v>
      </c>
      <c r="G134" s="12" t="n">
        <v>34.3</v>
      </c>
      <c r="H134" s="10" t="n">
        <v>28</v>
      </c>
      <c r="I134" s="10" t="n">
        <v>332</v>
      </c>
      <c r="J134" s="7" t="inlineStr">
        <is>
          <t>GA</t>
        </is>
      </c>
      <c r="K134" s="7" t="inlineStr">
        <is>
          <t>SFR</t>
        </is>
      </c>
      <c r="L134" s="7" t="inlineStr">
        <is>
          <t>Meridian Home Loans</t>
        </is>
      </c>
      <c r="M134" s="7" t="inlineStr">
        <is>
          <t>Summit Loan Servicing</t>
        </is>
      </c>
    </row>
    <row r="135">
      <c r="A135" s="5" t="inlineStr">
        <is>
          <t>L100130</t>
        </is>
      </c>
      <c r="B135" s="16" t="n">
        <v>211835.77</v>
      </c>
      <c r="C135" s="16" t="n">
        <v>201694.67</v>
      </c>
      <c r="D135" s="26" t="n">
        <v>5.665</v>
      </c>
      <c r="E135" s="6" t="n">
        <v>720</v>
      </c>
      <c r="F135" s="11" t="n">
        <v>86.2</v>
      </c>
      <c r="G135" s="11" t="n">
        <v>34.9</v>
      </c>
      <c r="H135" s="6" t="n">
        <v>41</v>
      </c>
      <c r="I135" s="6" t="n">
        <v>319</v>
      </c>
      <c r="J135" s="5" t="inlineStr">
        <is>
          <t>IL</t>
        </is>
      </c>
      <c r="K135" s="5" t="inlineStr">
        <is>
          <t>SFR</t>
        </is>
      </c>
      <c r="L135" s="5" t="inlineStr">
        <is>
          <t>Highline Capital</t>
        </is>
      </c>
      <c r="M135" s="5" t="inlineStr">
        <is>
          <t>Pier Asset Mgmt</t>
        </is>
      </c>
    </row>
    <row r="136">
      <c r="A136" s="7" t="inlineStr">
        <is>
          <t>L100131</t>
        </is>
      </c>
      <c r="B136" s="8" t="n">
        <v>149965.4</v>
      </c>
      <c r="C136" s="8" t="n">
        <v>142359.05</v>
      </c>
      <c r="D136" s="27" t="n">
        <v>6.211</v>
      </c>
      <c r="E136" s="10" t="n">
        <v>820</v>
      </c>
      <c r="F136" s="12" t="n">
        <v>64.8</v>
      </c>
      <c r="G136" s="12" t="n">
        <v>37.4</v>
      </c>
      <c r="H136" s="10" t="n">
        <v>47</v>
      </c>
      <c r="I136" s="10" t="n">
        <v>313</v>
      </c>
      <c r="J136" s="7" t="inlineStr">
        <is>
          <t>NC</t>
        </is>
      </c>
      <c r="K136" s="7" t="inlineStr">
        <is>
          <t>Condo</t>
        </is>
      </c>
      <c r="L136" s="7" t="inlineStr">
        <is>
          <t>Coastal Mortgage Co</t>
        </is>
      </c>
      <c r="M136" s="7" t="inlineStr">
        <is>
          <t>Summit Loan Servicing</t>
        </is>
      </c>
    </row>
    <row r="137">
      <c r="A137" s="5" t="inlineStr">
        <is>
          <t>L100132</t>
        </is>
      </c>
      <c r="B137" s="16" t="n">
        <v>303246.97</v>
      </c>
      <c r="C137" s="16" t="n">
        <v>288450.18</v>
      </c>
      <c r="D137" s="26" t="n">
        <v>5.234</v>
      </c>
      <c r="E137" s="6" t="n">
        <v>694</v>
      </c>
      <c r="F137" s="11" t="n">
        <v>78.2</v>
      </c>
      <c r="G137" s="11" t="n">
        <v>43.1</v>
      </c>
      <c r="H137" s="6" t="n">
        <v>39</v>
      </c>
      <c r="I137" s="6" t="n">
        <v>321</v>
      </c>
      <c r="J137" s="5" t="inlineStr">
        <is>
          <t>OH</t>
        </is>
      </c>
      <c r="K137" s="5" t="inlineStr">
        <is>
          <t>2-4 Unit</t>
        </is>
      </c>
      <c r="L137" s="5" t="inlineStr">
        <is>
          <t>Apex Funding</t>
        </is>
      </c>
      <c r="M137" s="5" t="inlineStr">
        <is>
          <t>Summit Loan Servicing</t>
        </is>
      </c>
    </row>
    <row r="138">
      <c r="A138" s="7" t="inlineStr">
        <is>
          <t>L100133</t>
        </is>
      </c>
      <c r="B138" s="8" t="n">
        <v>224632.73</v>
      </c>
      <c r="C138" s="8" t="n">
        <v>221625.56</v>
      </c>
      <c r="D138" s="27" t="n">
        <v>5.534</v>
      </c>
      <c r="E138" s="10" t="n">
        <v>733</v>
      </c>
      <c r="F138" s="12" t="n">
        <v>73.09999999999999</v>
      </c>
      <c r="G138" s="12" t="n">
        <v>24.2</v>
      </c>
      <c r="H138" s="10" t="n">
        <v>12</v>
      </c>
      <c r="I138" s="10" t="n">
        <v>348</v>
      </c>
      <c r="J138" s="7" t="inlineStr">
        <is>
          <t>NC</t>
        </is>
      </c>
      <c r="K138" s="7" t="inlineStr">
        <is>
          <t>2-4 Unit</t>
        </is>
      </c>
      <c r="L138" s="7" t="inlineStr">
        <is>
          <t>Meridian Home Loans</t>
        </is>
      </c>
      <c r="M138" s="7" t="inlineStr">
        <is>
          <t>Summit Loan Servicing</t>
        </is>
      </c>
    </row>
    <row r="139">
      <c r="A139" s="5" t="inlineStr">
        <is>
          <t>L100134</t>
        </is>
      </c>
      <c r="B139" s="16" t="n">
        <v>145105.71</v>
      </c>
      <c r="C139" s="16" t="n">
        <v>143879.84</v>
      </c>
      <c r="D139" s="26" t="n">
        <v>6.98</v>
      </c>
      <c r="E139" s="6" t="n">
        <v>671</v>
      </c>
      <c r="F139" s="11" t="n">
        <v>61.4</v>
      </c>
      <c r="G139" s="11" t="n">
        <v>41.9</v>
      </c>
      <c r="H139" s="6" t="n">
        <v>10</v>
      </c>
      <c r="I139" s="6" t="n">
        <v>350</v>
      </c>
      <c r="J139" s="5" t="inlineStr">
        <is>
          <t>IL</t>
        </is>
      </c>
      <c r="K139" s="5" t="inlineStr">
        <is>
          <t>Multifamily</t>
        </is>
      </c>
      <c r="L139" s="5" t="inlineStr">
        <is>
          <t>Coastal Mortgage Co</t>
        </is>
      </c>
      <c r="M139" s="5" t="inlineStr">
        <is>
          <t>Pier Asset Mgmt</t>
        </is>
      </c>
    </row>
    <row r="140">
      <c r="A140" s="7" t="inlineStr">
        <is>
          <t>L100135</t>
        </is>
      </c>
      <c r="B140" s="8" t="n">
        <v>170169</v>
      </c>
      <c r="C140" s="8" t="n">
        <v>166090.76</v>
      </c>
      <c r="D140" s="27" t="n">
        <v>6.984</v>
      </c>
      <c r="E140" s="10" t="n">
        <v>696</v>
      </c>
      <c r="F140" s="12" t="n">
        <v>66.7</v>
      </c>
      <c r="G140" s="12" t="n">
        <v>35.8</v>
      </c>
      <c r="H140" s="10" t="n">
        <v>27</v>
      </c>
      <c r="I140" s="10" t="n">
        <v>333</v>
      </c>
      <c r="J140" s="7" t="inlineStr">
        <is>
          <t>OH</t>
        </is>
      </c>
      <c r="K140" s="7" t="inlineStr">
        <is>
          <t>2-4 Unit</t>
        </is>
      </c>
      <c r="L140" s="7" t="inlineStr">
        <is>
          <t>Apex Funding</t>
        </is>
      </c>
      <c r="M140" s="7" t="inlineStr">
        <is>
          <t>Northgate Servicing</t>
        </is>
      </c>
    </row>
    <row r="141">
      <c r="A141" s="5" t="inlineStr">
        <is>
          <t>L100136</t>
        </is>
      </c>
      <c r="B141" s="16" t="n">
        <v>270960.91</v>
      </c>
      <c r="C141" s="16" t="n">
        <v>265039.38</v>
      </c>
      <c r="D141" s="26" t="n">
        <v>5.455</v>
      </c>
      <c r="E141" s="6" t="n">
        <v>729</v>
      </c>
      <c r="F141" s="11" t="n">
        <v>90.59999999999999</v>
      </c>
      <c r="G141" s="11" t="n">
        <v>27.5</v>
      </c>
      <c r="H141" s="6" t="n">
        <v>19</v>
      </c>
      <c r="I141" s="6" t="n">
        <v>341</v>
      </c>
      <c r="J141" s="5" t="inlineStr">
        <is>
          <t>OH</t>
        </is>
      </c>
      <c r="K141" s="5" t="inlineStr">
        <is>
          <t>SFR</t>
        </is>
      </c>
      <c r="L141" s="5" t="inlineStr">
        <is>
          <t>Highline Capital</t>
        </is>
      </c>
      <c r="M141" s="5" t="inlineStr">
        <is>
          <t>Summit Loan Servicing</t>
        </is>
      </c>
    </row>
    <row r="142">
      <c r="A142" s="7" t="inlineStr">
        <is>
          <t>L100137</t>
        </is>
      </c>
      <c r="B142" s="8" t="n">
        <v>325573.75</v>
      </c>
      <c r="C142" s="8" t="n">
        <v>317182.02</v>
      </c>
      <c r="D142" s="27" t="n">
        <v>7.009</v>
      </c>
      <c r="E142" s="10" t="n">
        <v>762</v>
      </c>
      <c r="F142" s="12" t="n">
        <v>76.40000000000001</v>
      </c>
      <c r="G142" s="12" t="n">
        <v>19.3</v>
      </c>
      <c r="H142" s="10" t="n">
        <v>29</v>
      </c>
      <c r="I142" s="10" t="n">
        <v>331</v>
      </c>
      <c r="J142" s="7" t="inlineStr">
        <is>
          <t>WA</t>
        </is>
      </c>
      <c r="K142" s="7" t="inlineStr">
        <is>
          <t>SFR</t>
        </is>
      </c>
      <c r="L142" s="7" t="inlineStr">
        <is>
          <t>Coastal Mortgage Co</t>
        </is>
      </c>
      <c r="M142" s="7" t="inlineStr">
        <is>
          <t>Northgate Servicing</t>
        </is>
      </c>
    </row>
    <row r="143">
      <c r="A143" s="5" t="inlineStr">
        <is>
          <t>L100138</t>
        </is>
      </c>
      <c r="B143" s="16" t="n">
        <v>488383.29</v>
      </c>
      <c r="C143" s="16" t="n">
        <v>410336.4</v>
      </c>
      <c r="D143" s="26" t="n">
        <v>6.809</v>
      </c>
      <c r="E143" s="6" t="n">
        <v>733</v>
      </c>
      <c r="F143" s="11" t="n">
        <v>61.9</v>
      </c>
      <c r="G143" s="11" t="n">
        <v>34.9</v>
      </c>
      <c r="H143" s="6" t="n">
        <v>44</v>
      </c>
      <c r="I143" s="6" t="n">
        <v>136</v>
      </c>
      <c r="J143" s="5" t="inlineStr">
        <is>
          <t>CA</t>
        </is>
      </c>
      <c r="K143" s="5" t="inlineStr">
        <is>
          <t>Multifamily</t>
        </is>
      </c>
      <c r="L143" s="5" t="inlineStr">
        <is>
          <t>Meridian Home Loans</t>
        </is>
      </c>
      <c r="M143" s="5" t="inlineStr">
        <is>
          <t>Northgate Servicing</t>
        </is>
      </c>
    </row>
    <row r="144">
      <c r="A144" s="7" t="inlineStr">
        <is>
          <t>L100139</t>
        </is>
      </c>
      <c r="B144" s="8" t="n">
        <v>673236.4399999999</v>
      </c>
      <c r="C144" s="8" t="n">
        <v>659854.38</v>
      </c>
      <c r="D144" s="27" t="n">
        <v>7.759</v>
      </c>
      <c r="E144" s="10" t="n">
        <v>784</v>
      </c>
      <c r="F144" s="12" t="n">
        <v>77.7</v>
      </c>
      <c r="G144" s="12" t="n">
        <v>47.6</v>
      </c>
      <c r="H144" s="10" t="n">
        <v>26</v>
      </c>
      <c r="I144" s="10" t="n">
        <v>334</v>
      </c>
      <c r="J144" s="7" t="inlineStr">
        <is>
          <t>OH</t>
        </is>
      </c>
      <c r="K144" s="7" t="inlineStr">
        <is>
          <t>SFR</t>
        </is>
      </c>
      <c r="L144" s="7" t="inlineStr">
        <is>
          <t>Coastal Mortgage Co</t>
        </is>
      </c>
      <c r="M144" s="7" t="inlineStr">
        <is>
          <t>Northgate Servicing</t>
        </is>
      </c>
    </row>
    <row r="145">
      <c r="A145" s="5" t="inlineStr">
        <is>
          <t>L100140</t>
        </is>
      </c>
      <c r="B145" s="16" t="n">
        <v>280700.43</v>
      </c>
      <c r="C145" s="16" t="n">
        <v>264810.19</v>
      </c>
      <c r="D145" s="26" t="n">
        <v>6.912</v>
      </c>
      <c r="E145" s="6" t="n">
        <v>710</v>
      </c>
      <c r="F145" s="11" t="n">
        <v>72.2</v>
      </c>
      <c r="G145" s="11" t="n">
        <v>49.4</v>
      </c>
      <c r="H145" s="6" t="n">
        <v>17</v>
      </c>
      <c r="I145" s="6" t="n">
        <v>163</v>
      </c>
      <c r="J145" s="5" t="inlineStr">
        <is>
          <t>TX</t>
        </is>
      </c>
      <c r="K145" s="5" t="inlineStr">
        <is>
          <t>SFR</t>
        </is>
      </c>
      <c r="L145" s="5" t="inlineStr">
        <is>
          <t>Apex Funding</t>
        </is>
      </c>
      <c r="M145" s="5" t="inlineStr">
        <is>
          <t>Summit Loan Servicing</t>
        </is>
      </c>
    </row>
    <row r="146">
      <c r="A146" s="7" t="inlineStr">
        <is>
          <t>L100141</t>
        </is>
      </c>
      <c r="B146" s="8" t="n">
        <v>171727.06</v>
      </c>
      <c r="C146" s="8" t="n">
        <v>147324.42</v>
      </c>
      <c r="D146" s="27" t="n">
        <v>7.353</v>
      </c>
      <c r="E146" s="10" t="n">
        <v>697</v>
      </c>
      <c r="F146" s="12" t="n">
        <v>97</v>
      </c>
      <c r="G146" s="12" t="n">
        <v>38.8</v>
      </c>
      <c r="H146" s="10" t="n">
        <v>41</v>
      </c>
      <c r="I146" s="10" t="n">
        <v>139</v>
      </c>
      <c r="J146" s="7" t="inlineStr">
        <is>
          <t>NC</t>
        </is>
      </c>
      <c r="K146" s="7" t="inlineStr">
        <is>
          <t>SFR</t>
        </is>
      </c>
      <c r="L146" s="7" t="inlineStr">
        <is>
          <t>Highline Capital</t>
        </is>
      </c>
      <c r="M146" s="7" t="inlineStr">
        <is>
          <t>Pier Asset Mgmt</t>
        </is>
      </c>
    </row>
    <row r="147">
      <c r="A147" s="5" t="inlineStr">
        <is>
          <t>L100142</t>
        </is>
      </c>
      <c r="B147" s="16" t="n">
        <v>115126.15</v>
      </c>
      <c r="C147" s="16" t="n">
        <v>112955.65</v>
      </c>
      <c r="D147" s="26" t="n">
        <v>6.829</v>
      </c>
      <c r="E147" s="6" t="n">
        <v>820</v>
      </c>
      <c r="F147" s="11" t="n">
        <v>77.40000000000001</v>
      </c>
      <c r="G147" s="11" t="n">
        <v>51.7</v>
      </c>
      <c r="H147" s="6" t="n">
        <v>21</v>
      </c>
      <c r="I147" s="6" t="n">
        <v>339</v>
      </c>
      <c r="J147" s="5" t="inlineStr">
        <is>
          <t>NC</t>
        </is>
      </c>
      <c r="K147" s="5" t="inlineStr">
        <is>
          <t>SFR</t>
        </is>
      </c>
      <c r="L147" s="5" t="inlineStr">
        <is>
          <t>Highline Capital</t>
        </is>
      </c>
      <c r="M147" s="5" t="inlineStr">
        <is>
          <t>Pier Asset Mgmt</t>
        </is>
      </c>
    </row>
    <row r="148">
      <c r="A148" s="7" t="inlineStr">
        <is>
          <t>L100143</t>
        </is>
      </c>
      <c r="B148" s="8" t="n">
        <v>266651.81</v>
      </c>
      <c r="C148" s="8" t="n">
        <v>260119.49</v>
      </c>
      <c r="D148" s="27" t="n">
        <v>7.282</v>
      </c>
      <c r="E148" s="10" t="n">
        <v>737</v>
      </c>
      <c r="F148" s="12" t="n">
        <v>69.40000000000001</v>
      </c>
      <c r="G148" s="12" t="n">
        <v>35.7</v>
      </c>
      <c r="H148" s="10" t="n">
        <v>29</v>
      </c>
      <c r="I148" s="10" t="n">
        <v>331</v>
      </c>
      <c r="J148" s="7" t="inlineStr">
        <is>
          <t>FL</t>
        </is>
      </c>
      <c r="K148" s="7" t="inlineStr">
        <is>
          <t>SFR</t>
        </is>
      </c>
      <c r="L148" s="7" t="inlineStr">
        <is>
          <t>Highline Capital</t>
        </is>
      </c>
      <c r="M148" s="7" t="inlineStr">
        <is>
          <t>Pier Asset Mgmt</t>
        </is>
      </c>
    </row>
    <row r="149">
      <c r="A149" s="5" t="inlineStr">
        <is>
          <t>L100144</t>
        </is>
      </c>
      <c r="B149" s="16" t="n">
        <v>182676.23</v>
      </c>
      <c r="C149" s="16" t="n">
        <v>181187.89</v>
      </c>
      <c r="D149" s="26" t="n">
        <v>5.242</v>
      </c>
      <c r="E149" s="6" t="n">
        <v>675</v>
      </c>
      <c r="F149" s="11" t="n">
        <v>91</v>
      </c>
      <c r="G149" s="11" t="n">
        <v>43.6</v>
      </c>
      <c r="H149" s="6" t="n">
        <v>7</v>
      </c>
      <c r="I149" s="6" t="n">
        <v>353</v>
      </c>
      <c r="J149" s="5" t="inlineStr">
        <is>
          <t>CA</t>
        </is>
      </c>
      <c r="K149" s="5" t="inlineStr">
        <is>
          <t>2-4 Unit</t>
        </is>
      </c>
      <c r="L149" s="5" t="inlineStr">
        <is>
          <t>Meridian Home Loans</t>
        </is>
      </c>
      <c r="M149" s="5" t="inlineStr">
        <is>
          <t>Pier Asset Mgmt</t>
        </is>
      </c>
    </row>
    <row r="150">
      <c r="A150" s="7" t="inlineStr">
        <is>
          <t>L100145</t>
        </is>
      </c>
      <c r="B150" s="8" t="n">
        <v>209950.06</v>
      </c>
      <c r="C150" s="8" t="n">
        <v>204908.52</v>
      </c>
      <c r="D150" s="27" t="n">
        <v>6.29</v>
      </c>
      <c r="E150" s="10" t="n">
        <v>677</v>
      </c>
      <c r="F150" s="12" t="n">
        <v>51.9</v>
      </c>
      <c r="G150" s="12" t="n">
        <v>32.4</v>
      </c>
      <c r="H150" s="10" t="n">
        <v>24</v>
      </c>
      <c r="I150" s="10" t="n">
        <v>336</v>
      </c>
      <c r="J150" s="7" t="inlineStr">
        <is>
          <t>WA</t>
        </is>
      </c>
      <c r="K150" s="7" t="inlineStr">
        <is>
          <t>SFR</t>
        </is>
      </c>
      <c r="L150" s="7" t="inlineStr">
        <is>
          <t>Apex Funding</t>
        </is>
      </c>
      <c r="M150" s="7" t="inlineStr">
        <is>
          <t>Summit Loan Servicing</t>
        </is>
      </c>
    </row>
    <row r="151">
      <c r="A151" s="5" t="inlineStr">
        <is>
          <t>L100146</t>
        </is>
      </c>
      <c r="B151" s="16" t="n">
        <v>195979.65</v>
      </c>
      <c r="C151" s="16" t="n">
        <v>191950.88</v>
      </c>
      <c r="D151" s="26" t="n">
        <v>6.365</v>
      </c>
      <c r="E151" s="6" t="n">
        <v>663</v>
      </c>
      <c r="F151" s="11" t="n">
        <v>75.09999999999999</v>
      </c>
      <c r="G151" s="11" t="n">
        <v>31.9</v>
      </c>
      <c r="H151" s="6" t="n">
        <v>21</v>
      </c>
      <c r="I151" s="6" t="n">
        <v>339</v>
      </c>
      <c r="J151" s="5" t="inlineStr">
        <is>
          <t>OH</t>
        </is>
      </c>
      <c r="K151" s="5" t="inlineStr">
        <is>
          <t>SFR</t>
        </is>
      </c>
      <c r="L151" s="5" t="inlineStr">
        <is>
          <t>Apex Funding</t>
        </is>
      </c>
      <c r="M151" s="5" t="inlineStr">
        <is>
          <t>Northgate Servicing</t>
        </is>
      </c>
    </row>
    <row r="152">
      <c r="A152" s="7" t="inlineStr">
        <is>
          <t>L100147</t>
        </is>
      </c>
      <c r="B152" s="8" t="n">
        <v>231127.13</v>
      </c>
      <c r="C152" s="8" t="n">
        <v>229776.42</v>
      </c>
      <c r="D152" s="27" t="n">
        <v>6.181</v>
      </c>
      <c r="E152" s="10" t="n">
        <v>767</v>
      </c>
      <c r="F152" s="12" t="n">
        <v>97</v>
      </c>
      <c r="G152" s="12" t="n">
        <v>30.6</v>
      </c>
      <c r="H152" s="10" t="n">
        <v>6</v>
      </c>
      <c r="I152" s="10" t="n">
        <v>354</v>
      </c>
      <c r="J152" s="7" t="inlineStr">
        <is>
          <t>TX</t>
        </is>
      </c>
      <c r="K152" s="7" t="inlineStr">
        <is>
          <t>SFR</t>
        </is>
      </c>
      <c r="L152" s="7" t="inlineStr">
        <is>
          <t>Coastal Mortgage Co</t>
        </is>
      </c>
      <c r="M152" s="7" t="inlineStr">
        <is>
          <t>Pier Asset Mgmt</t>
        </is>
      </c>
    </row>
    <row r="153">
      <c r="A153" s="5" t="inlineStr">
        <is>
          <t>L100148</t>
        </is>
      </c>
      <c r="B153" s="16" t="n">
        <v>352601.25</v>
      </c>
      <c r="C153" s="16" t="n">
        <v>349516.6</v>
      </c>
      <c r="D153" s="26" t="n">
        <v>6.799</v>
      </c>
      <c r="E153" s="6" t="n">
        <v>695</v>
      </c>
      <c r="F153" s="11" t="n">
        <v>72.59999999999999</v>
      </c>
      <c r="G153" s="11" t="n">
        <v>19.5</v>
      </c>
      <c r="H153" s="6" t="n">
        <v>10</v>
      </c>
      <c r="I153" s="6" t="n">
        <v>350</v>
      </c>
      <c r="J153" s="5" t="inlineStr">
        <is>
          <t>NC</t>
        </is>
      </c>
      <c r="K153" s="5" t="inlineStr">
        <is>
          <t>Condo</t>
        </is>
      </c>
      <c r="L153" s="5" t="inlineStr">
        <is>
          <t>Highline Capital</t>
        </is>
      </c>
      <c r="M153" s="5" t="inlineStr">
        <is>
          <t>Northgate Servicing</t>
        </is>
      </c>
    </row>
    <row r="154">
      <c r="A154" s="7" t="inlineStr">
        <is>
          <t>L100149</t>
        </is>
      </c>
      <c r="B154" s="8" t="n">
        <v>256521.3</v>
      </c>
      <c r="C154" s="8" t="n">
        <v>248597.29</v>
      </c>
      <c r="D154" s="27" t="n">
        <v>6.971</v>
      </c>
      <c r="E154" s="10" t="n">
        <v>722</v>
      </c>
      <c r="F154" s="12" t="n">
        <v>53.2</v>
      </c>
      <c r="G154" s="12" t="n">
        <v>46.3</v>
      </c>
      <c r="H154" s="10" t="n">
        <v>34</v>
      </c>
      <c r="I154" s="10" t="n">
        <v>326</v>
      </c>
      <c r="J154" s="7" t="inlineStr">
        <is>
          <t>TX</t>
        </is>
      </c>
      <c r="K154" s="7" t="inlineStr">
        <is>
          <t>SFR</t>
        </is>
      </c>
      <c r="L154" s="7" t="inlineStr">
        <is>
          <t>Highline Capital</t>
        </is>
      </c>
      <c r="M154" s="7" t="inlineStr">
        <is>
          <t>Pier Asset Mgmt</t>
        </is>
      </c>
    </row>
    <row r="155">
      <c r="A155" s="5" t="inlineStr">
        <is>
          <t>L100150</t>
        </is>
      </c>
      <c r="B155" s="16" t="n">
        <v>229688.15</v>
      </c>
      <c r="C155" s="16" t="n">
        <v>227868.81</v>
      </c>
      <c r="D155" s="26" t="n">
        <v>6.753</v>
      </c>
      <c r="E155" s="6" t="n">
        <v>712</v>
      </c>
      <c r="F155" s="11" t="n">
        <v>69.2</v>
      </c>
      <c r="G155" s="11" t="n">
        <v>30.9</v>
      </c>
      <c r="H155" s="6" t="n">
        <v>9</v>
      </c>
      <c r="I155" s="6" t="n">
        <v>351</v>
      </c>
      <c r="J155" s="5" t="inlineStr">
        <is>
          <t>GA</t>
        </is>
      </c>
      <c r="K155" s="5" t="inlineStr">
        <is>
          <t>SFR</t>
        </is>
      </c>
      <c r="L155" s="5" t="inlineStr">
        <is>
          <t>Meridian Home Loans</t>
        </is>
      </c>
      <c r="M155" s="5" t="inlineStr">
        <is>
          <t>Northgate Servicing</t>
        </is>
      </c>
    </row>
    <row r="156">
      <c r="A156" s="7" t="inlineStr">
        <is>
          <t>L100151</t>
        </is>
      </c>
      <c r="B156" s="8" t="n">
        <v>168977.56</v>
      </c>
      <c r="C156" s="8" t="n">
        <v>167835.59</v>
      </c>
      <c r="D156" s="27" t="n">
        <v>6.241</v>
      </c>
      <c r="E156" s="10" t="n">
        <v>755</v>
      </c>
      <c r="F156" s="12" t="n">
        <v>91.5</v>
      </c>
      <c r="G156" s="12" t="n">
        <v>29.6</v>
      </c>
      <c r="H156" s="10" t="n">
        <v>7</v>
      </c>
      <c r="I156" s="10" t="n">
        <v>353</v>
      </c>
      <c r="J156" s="7" t="inlineStr">
        <is>
          <t>NY</t>
        </is>
      </c>
      <c r="K156" s="7" t="inlineStr">
        <is>
          <t>SFR</t>
        </is>
      </c>
      <c r="L156" s="7" t="inlineStr">
        <is>
          <t>Highline Capital</t>
        </is>
      </c>
      <c r="M156" s="7" t="inlineStr">
        <is>
          <t>Pier Asset Mgmt</t>
        </is>
      </c>
    </row>
    <row r="157">
      <c r="A157" s="5" t="inlineStr">
        <is>
          <t>L100152</t>
        </is>
      </c>
      <c r="B157" s="16" t="n">
        <v>135112.22</v>
      </c>
      <c r="C157" s="16" t="n">
        <v>133680.23</v>
      </c>
      <c r="D157" s="26" t="n">
        <v>5.738</v>
      </c>
      <c r="E157" s="6" t="n">
        <v>668</v>
      </c>
      <c r="F157" s="11" t="n">
        <v>78.5</v>
      </c>
      <c r="G157" s="11" t="n">
        <v>26.6</v>
      </c>
      <c r="H157" s="6" t="n">
        <v>3</v>
      </c>
      <c r="I157" s="6" t="n">
        <v>177</v>
      </c>
      <c r="J157" s="5" t="inlineStr">
        <is>
          <t>AZ</t>
        </is>
      </c>
      <c r="K157" s="5" t="inlineStr">
        <is>
          <t>SFR</t>
        </is>
      </c>
      <c r="L157" s="5" t="inlineStr">
        <is>
          <t>Highline Capital</t>
        </is>
      </c>
      <c r="M157" s="5" t="inlineStr">
        <is>
          <t>Summit Loan Servicing</t>
        </is>
      </c>
    </row>
    <row r="158">
      <c r="A158" s="7" t="inlineStr">
        <is>
          <t>L100153</t>
        </is>
      </c>
      <c r="B158" s="8" t="n">
        <v>204800.63</v>
      </c>
      <c r="C158" s="8" t="n">
        <v>204488.74</v>
      </c>
      <c r="D158" s="27" t="n">
        <v>7.387</v>
      </c>
      <c r="E158" s="10" t="n">
        <v>656</v>
      </c>
      <c r="F158" s="12" t="n">
        <v>63.9</v>
      </c>
      <c r="G158" s="12" t="n">
        <v>34.4</v>
      </c>
      <c r="H158" s="10" t="n">
        <v>2</v>
      </c>
      <c r="I158" s="10" t="n">
        <v>358</v>
      </c>
      <c r="J158" s="7" t="inlineStr">
        <is>
          <t>GA</t>
        </is>
      </c>
      <c r="K158" s="7" t="inlineStr">
        <is>
          <t>SFR</t>
        </is>
      </c>
      <c r="L158" s="7" t="inlineStr">
        <is>
          <t>Apex Funding</t>
        </is>
      </c>
      <c r="M158" s="7" t="inlineStr">
        <is>
          <t>Pier Asset Mgmt</t>
        </is>
      </c>
    </row>
    <row r="159">
      <c r="A159" s="5" t="inlineStr">
        <is>
          <t>L100154</t>
        </is>
      </c>
      <c r="B159" s="16" t="n">
        <v>238273.89</v>
      </c>
      <c r="C159" s="16" t="n">
        <v>233684.59</v>
      </c>
      <c r="D159" s="26" t="n">
        <v>6.715</v>
      </c>
      <c r="E159" s="6" t="n">
        <v>727</v>
      </c>
      <c r="F159" s="11" t="n">
        <v>65.8</v>
      </c>
      <c r="G159" s="11" t="n">
        <v>50.1</v>
      </c>
      <c r="H159" s="6" t="n">
        <v>21</v>
      </c>
      <c r="I159" s="6" t="n">
        <v>339</v>
      </c>
      <c r="J159" s="5" t="inlineStr">
        <is>
          <t>IL</t>
        </is>
      </c>
      <c r="K159" s="5" t="inlineStr">
        <is>
          <t>SFR</t>
        </is>
      </c>
      <c r="L159" s="5" t="inlineStr">
        <is>
          <t>Coastal Mortgage Co</t>
        </is>
      </c>
      <c r="M159" s="5" t="inlineStr">
        <is>
          <t>Pier Asset Mgmt</t>
        </is>
      </c>
    </row>
    <row r="160">
      <c r="A160" s="7" t="inlineStr">
        <is>
          <t>L100155</t>
        </is>
      </c>
      <c r="B160" s="8" t="n">
        <v>450798.38</v>
      </c>
      <c r="C160" s="8" t="n">
        <v>438822.32</v>
      </c>
      <c r="D160" s="27" t="n">
        <v>5.483</v>
      </c>
      <c r="E160" s="10" t="n">
        <v>748</v>
      </c>
      <c r="F160" s="12" t="n">
        <v>67.3</v>
      </c>
      <c r="G160" s="12" t="n">
        <v>52.8</v>
      </c>
      <c r="H160" s="10" t="n">
        <v>23</v>
      </c>
      <c r="I160" s="10" t="n">
        <v>337</v>
      </c>
      <c r="J160" s="7" t="inlineStr">
        <is>
          <t>NC</t>
        </is>
      </c>
      <c r="K160" s="7" t="inlineStr">
        <is>
          <t>SFR</t>
        </is>
      </c>
      <c r="L160" s="7" t="inlineStr">
        <is>
          <t>Highline Capital</t>
        </is>
      </c>
      <c r="M160" s="7" t="inlineStr">
        <is>
          <t>Summit Loan Servicing</t>
        </is>
      </c>
    </row>
    <row r="161">
      <c r="A161" s="5" t="inlineStr">
        <is>
          <t>L100156</t>
        </is>
      </c>
      <c r="B161" s="16" t="n">
        <v>254128.69</v>
      </c>
      <c r="C161" s="16" t="n">
        <v>246287.18</v>
      </c>
      <c r="D161" s="26" t="n">
        <v>6.226</v>
      </c>
      <c r="E161" s="6" t="n">
        <v>733</v>
      </c>
      <c r="F161" s="11" t="n">
        <v>78.3</v>
      </c>
      <c r="G161" s="11" t="n">
        <v>22.7</v>
      </c>
      <c r="H161" s="6" t="n">
        <v>30</v>
      </c>
      <c r="I161" s="6" t="n">
        <v>330</v>
      </c>
      <c r="J161" s="5" t="inlineStr">
        <is>
          <t>IL</t>
        </is>
      </c>
      <c r="K161" s="5" t="inlineStr">
        <is>
          <t>Condo</t>
        </is>
      </c>
      <c r="L161" s="5" t="inlineStr">
        <is>
          <t>Apex Funding</t>
        </is>
      </c>
      <c r="M161" s="5" t="inlineStr">
        <is>
          <t>Pier Asset Mgmt</t>
        </is>
      </c>
    </row>
    <row r="162">
      <c r="A162" s="7" t="inlineStr">
        <is>
          <t>L100157</t>
        </is>
      </c>
      <c r="B162" s="8" t="n">
        <v>342476.67</v>
      </c>
      <c r="C162" s="8" t="n">
        <v>330393.99</v>
      </c>
      <c r="D162" s="27" t="n">
        <v>4.831</v>
      </c>
      <c r="E162" s="10" t="n">
        <v>670</v>
      </c>
      <c r="F162" s="12" t="n">
        <v>90.09999999999999</v>
      </c>
      <c r="G162" s="12" t="n">
        <v>33.2</v>
      </c>
      <c r="H162" s="10" t="n">
        <v>27</v>
      </c>
      <c r="I162" s="10" t="n">
        <v>333</v>
      </c>
      <c r="J162" s="7" t="inlineStr">
        <is>
          <t>CA</t>
        </is>
      </c>
      <c r="K162" s="7" t="inlineStr">
        <is>
          <t>SFR</t>
        </is>
      </c>
      <c r="L162" s="7" t="inlineStr">
        <is>
          <t>Highline Capital</t>
        </is>
      </c>
      <c r="M162" s="7" t="inlineStr">
        <is>
          <t>Summit Loan Servicing</t>
        </is>
      </c>
    </row>
    <row r="163">
      <c r="A163" s="5" t="inlineStr">
        <is>
          <t>L100158</t>
        </is>
      </c>
      <c r="B163" s="16" t="n">
        <v>203871.78</v>
      </c>
      <c r="C163" s="16" t="n">
        <v>198676.52</v>
      </c>
      <c r="D163" s="26" t="n">
        <v>6.432</v>
      </c>
      <c r="E163" s="6" t="n">
        <v>752</v>
      </c>
      <c r="F163" s="11" t="n">
        <v>86.59999999999999</v>
      </c>
      <c r="G163" s="11" t="n">
        <v>27.7</v>
      </c>
      <c r="H163" s="6" t="n">
        <v>26</v>
      </c>
      <c r="I163" s="6" t="n">
        <v>334</v>
      </c>
      <c r="J163" s="5" t="inlineStr">
        <is>
          <t>GA</t>
        </is>
      </c>
      <c r="K163" s="5" t="inlineStr">
        <is>
          <t>SFR</t>
        </is>
      </c>
      <c r="L163" s="5" t="inlineStr">
        <is>
          <t>Apex Funding</t>
        </is>
      </c>
      <c r="M163" s="5" t="inlineStr">
        <is>
          <t>Pier Asset Mgmt</t>
        </is>
      </c>
    </row>
    <row r="164">
      <c r="A164" s="7" t="inlineStr">
        <is>
          <t>L100159</t>
        </is>
      </c>
      <c r="B164" s="8" t="n">
        <v>160374.93</v>
      </c>
      <c r="C164" s="8" t="n">
        <v>152254.64</v>
      </c>
      <c r="D164" s="27" t="n">
        <v>6.221</v>
      </c>
      <c r="E164" s="10" t="n">
        <v>674</v>
      </c>
      <c r="F164" s="12" t="n">
        <v>79.5</v>
      </c>
      <c r="G164" s="12" t="n">
        <v>43.9</v>
      </c>
      <c r="H164" s="10" t="n">
        <v>47</v>
      </c>
      <c r="I164" s="10" t="n">
        <v>313</v>
      </c>
      <c r="J164" s="7" t="inlineStr">
        <is>
          <t>AZ</t>
        </is>
      </c>
      <c r="K164" s="7" t="inlineStr">
        <is>
          <t>2-4 Unit</t>
        </is>
      </c>
      <c r="L164" s="7" t="inlineStr">
        <is>
          <t>Highline Capital</t>
        </is>
      </c>
      <c r="M164" s="7" t="inlineStr">
        <is>
          <t>Pier Asset Mgmt</t>
        </is>
      </c>
    </row>
    <row r="165">
      <c r="A165" s="5" t="inlineStr">
        <is>
          <t>L100160</t>
        </is>
      </c>
      <c r="B165" s="16" t="n">
        <v>173201.19</v>
      </c>
      <c r="C165" s="16" t="n">
        <v>171027.39</v>
      </c>
      <c r="D165" s="26" t="n">
        <v>5.883</v>
      </c>
      <c r="E165" s="6" t="n">
        <v>686</v>
      </c>
      <c r="F165" s="11" t="n">
        <v>58</v>
      </c>
      <c r="G165" s="11" t="n">
        <v>38.3</v>
      </c>
      <c r="H165" s="6" t="n">
        <v>12</v>
      </c>
      <c r="I165" s="6" t="n">
        <v>348</v>
      </c>
      <c r="J165" s="5" t="inlineStr">
        <is>
          <t>IL</t>
        </is>
      </c>
      <c r="K165" s="5" t="inlineStr">
        <is>
          <t>Condo</t>
        </is>
      </c>
      <c r="L165" s="5" t="inlineStr">
        <is>
          <t>Coastal Mortgage Co</t>
        </is>
      </c>
      <c r="M165" s="5" t="inlineStr">
        <is>
          <t>Summit Loan Servicing</t>
        </is>
      </c>
    </row>
    <row r="166">
      <c r="A166" s="7" t="inlineStr">
        <is>
          <t>L100161</t>
        </is>
      </c>
      <c r="B166" s="8" t="n">
        <v>188371.41</v>
      </c>
      <c r="C166" s="8" t="n">
        <v>183405.81</v>
      </c>
      <c r="D166" s="27" t="n">
        <v>7.826</v>
      </c>
      <c r="E166" s="10" t="n">
        <v>663</v>
      </c>
      <c r="F166" s="12" t="n">
        <v>58.1</v>
      </c>
      <c r="G166" s="12" t="n">
        <v>30.9</v>
      </c>
      <c r="H166" s="10" t="n">
        <v>34</v>
      </c>
      <c r="I166" s="10" t="n">
        <v>326</v>
      </c>
      <c r="J166" s="7" t="inlineStr">
        <is>
          <t>TX</t>
        </is>
      </c>
      <c r="K166" s="7" t="inlineStr">
        <is>
          <t>SFR</t>
        </is>
      </c>
      <c r="L166" s="7" t="inlineStr">
        <is>
          <t>Meridian Home Loans</t>
        </is>
      </c>
      <c r="M166" s="7" t="inlineStr">
        <is>
          <t>Northgate Servicing</t>
        </is>
      </c>
    </row>
    <row r="167">
      <c r="A167" s="5" t="inlineStr">
        <is>
          <t>L100162</t>
        </is>
      </c>
      <c r="B167" s="16" t="n">
        <v>511429.18</v>
      </c>
      <c r="C167" s="16" t="n">
        <v>509114.54</v>
      </c>
      <c r="D167" s="26" t="n">
        <v>5.359</v>
      </c>
      <c r="E167" s="6" t="n">
        <v>787</v>
      </c>
      <c r="F167" s="11" t="n">
        <v>80.40000000000001</v>
      </c>
      <c r="G167" s="11" t="n">
        <v>36.6</v>
      </c>
      <c r="H167" s="6" t="n">
        <v>4</v>
      </c>
      <c r="I167" s="6" t="n">
        <v>356</v>
      </c>
      <c r="J167" s="5" t="inlineStr">
        <is>
          <t>CA</t>
        </is>
      </c>
      <c r="K167" s="5" t="inlineStr">
        <is>
          <t>Condo</t>
        </is>
      </c>
      <c r="L167" s="5" t="inlineStr">
        <is>
          <t>Coastal Mortgage Co</t>
        </is>
      </c>
      <c r="M167" s="5" t="inlineStr">
        <is>
          <t>Northgate Servicing</t>
        </is>
      </c>
    </row>
    <row r="168">
      <c r="A168" s="7" t="inlineStr">
        <is>
          <t>L100163</t>
        </is>
      </c>
      <c r="B168" s="8" t="n">
        <v>182137.04</v>
      </c>
      <c r="C168" s="8" t="n">
        <v>175476.33</v>
      </c>
      <c r="D168" s="27" t="n">
        <v>7.036</v>
      </c>
      <c r="E168" s="10" t="n">
        <v>750</v>
      </c>
      <c r="F168" s="12" t="n">
        <v>57.9</v>
      </c>
      <c r="G168" s="12" t="n">
        <v>32.2</v>
      </c>
      <c r="H168" s="10" t="n">
        <v>40</v>
      </c>
      <c r="I168" s="10" t="n">
        <v>320</v>
      </c>
      <c r="J168" s="7" t="inlineStr">
        <is>
          <t>FL</t>
        </is>
      </c>
      <c r="K168" s="7" t="inlineStr">
        <is>
          <t>SFR</t>
        </is>
      </c>
      <c r="L168" s="7" t="inlineStr">
        <is>
          <t>Highline Capital</t>
        </is>
      </c>
      <c r="M168" s="7" t="inlineStr">
        <is>
          <t>Pier Asset Mgmt</t>
        </is>
      </c>
    </row>
    <row r="169">
      <c r="A169" s="5" t="inlineStr">
        <is>
          <t>L100164</t>
        </is>
      </c>
      <c r="B169" s="16" t="n">
        <v>325615.08</v>
      </c>
      <c r="C169" s="16" t="n">
        <v>308213.86</v>
      </c>
      <c r="D169" s="26" t="n">
        <v>8.368</v>
      </c>
      <c r="E169" s="6" t="n">
        <v>748</v>
      </c>
      <c r="F169" s="11" t="n">
        <v>71.3</v>
      </c>
      <c r="G169" s="11" t="n">
        <v>48.9</v>
      </c>
      <c r="H169" s="6" t="n">
        <v>18</v>
      </c>
      <c r="I169" s="6" t="n">
        <v>162</v>
      </c>
      <c r="J169" s="5" t="inlineStr">
        <is>
          <t>AZ</t>
        </is>
      </c>
      <c r="K169" s="5" t="inlineStr">
        <is>
          <t>SFR</t>
        </is>
      </c>
      <c r="L169" s="5" t="inlineStr">
        <is>
          <t>Apex Funding</t>
        </is>
      </c>
      <c r="M169" s="5" t="inlineStr">
        <is>
          <t>Summit Loan Servicing</t>
        </is>
      </c>
    </row>
    <row r="170">
      <c r="A170" s="7" t="inlineStr">
        <is>
          <t>L100165</t>
        </is>
      </c>
      <c r="B170" s="8" t="n">
        <v>177012.47</v>
      </c>
      <c r="C170" s="8" t="n">
        <v>174604.28</v>
      </c>
      <c r="D170" s="27" t="n">
        <v>7.37</v>
      </c>
      <c r="E170" s="10" t="n">
        <v>784</v>
      </c>
      <c r="F170" s="12" t="n">
        <v>77.59999999999999</v>
      </c>
      <c r="G170" s="12" t="n">
        <v>40.4</v>
      </c>
      <c r="H170" s="10" t="n">
        <v>17</v>
      </c>
      <c r="I170" s="10" t="n">
        <v>343</v>
      </c>
      <c r="J170" s="7" t="inlineStr">
        <is>
          <t>NY</t>
        </is>
      </c>
      <c r="K170" s="7" t="inlineStr">
        <is>
          <t>Condo</t>
        </is>
      </c>
      <c r="L170" s="7" t="inlineStr">
        <is>
          <t>Apex Funding</t>
        </is>
      </c>
      <c r="M170" s="7" t="inlineStr">
        <is>
          <t>Pier Asset Mgmt</t>
        </is>
      </c>
    </row>
    <row r="171">
      <c r="A171" s="5" t="inlineStr">
        <is>
          <t>L100166</t>
        </is>
      </c>
      <c r="B171" s="16" t="n">
        <v>336398.1</v>
      </c>
      <c r="C171" s="16" t="n">
        <v>334180.76</v>
      </c>
      <c r="D171" s="26" t="n">
        <v>6.372</v>
      </c>
      <c r="E171" s="6" t="n">
        <v>820</v>
      </c>
      <c r="F171" s="11" t="n">
        <v>60.3</v>
      </c>
      <c r="G171" s="11" t="n">
        <v>41.4</v>
      </c>
      <c r="H171" s="6" t="n">
        <v>7</v>
      </c>
      <c r="I171" s="6" t="n">
        <v>353</v>
      </c>
      <c r="J171" s="5" t="inlineStr">
        <is>
          <t>WA</t>
        </is>
      </c>
      <c r="K171" s="5" t="inlineStr">
        <is>
          <t>SFR</t>
        </is>
      </c>
      <c r="L171" s="5" t="inlineStr">
        <is>
          <t>Apex Funding</t>
        </is>
      </c>
      <c r="M171" s="5" t="inlineStr">
        <is>
          <t>Summit Loan Servicing</t>
        </is>
      </c>
    </row>
    <row r="172">
      <c r="A172" s="7" t="inlineStr">
        <is>
          <t>L100167</t>
        </is>
      </c>
      <c r="B172" s="8" t="n">
        <v>277821.15</v>
      </c>
      <c r="C172" s="8" t="n">
        <v>269957.46</v>
      </c>
      <c r="D172" s="27" t="n">
        <v>5.379</v>
      </c>
      <c r="E172" s="10" t="n">
        <v>621</v>
      </c>
      <c r="F172" s="12" t="n">
        <v>61.7</v>
      </c>
      <c r="G172" s="12" t="n">
        <v>14.7</v>
      </c>
      <c r="H172" s="10" t="n">
        <v>24</v>
      </c>
      <c r="I172" s="10" t="n">
        <v>336</v>
      </c>
      <c r="J172" s="7" t="inlineStr">
        <is>
          <t>NY</t>
        </is>
      </c>
      <c r="K172" s="7" t="inlineStr">
        <is>
          <t>SFR</t>
        </is>
      </c>
      <c r="L172" s="7" t="inlineStr">
        <is>
          <t>Apex Funding</t>
        </is>
      </c>
      <c r="M172" s="7" t="inlineStr">
        <is>
          <t>Summit Loan Servicing</t>
        </is>
      </c>
    </row>
    <row r="173">
      <c r="A173" s="5" t="inlineStr">
        <is>
          <t>L100168</t>
        </is>
      </c>
      <c r="B173" s="16" t="n">
        <v>229848.74</v>
      </c>
      <c r="C173" s="16" t="n">
        <v>224566.01</v>
      </c>
      <c r="D173" s="26" t="n">
        <v>5.174</v>
      </c>
      <c r="E173" s="6" t="n">
        <v>674</v>
      </c>
      <c r="F173" s="11" t="n">
        <v>72.90000000000001</v>
      </c>
      <c r="G173" s="11" t="n">
        <v>35.5</v>
      </c>
      <c r="H173" s="6" t="n">
        <v>19</v>
      </c>
      <c r="I173" s="6" t="n">
        <v>341</v>
      </c>
      <c r="J173" s="5" t="inlineStr">
        <is>
          <t>IL</t>
        </is>
      </c>
      <c r="K173" s="5" t="inlineStr">
        <is>
          <t>2-4 Unit</t>
        </is>
      </c>
      <c r="L173" s="5" t="inlineStr">
        <is>
          <t>Meridian Home Loans</t>
        </is>
      </c>
      <c r="M173" s="5" t="inlineStr">
        <is>
          <t>Pier Asset Mgmt</t>
        </is>
      </c>
    </row>
    <row r="174">
      <c r="A174" s="7" t="inlineStr">
        <is>
          <t>L100169</t>
        </is>
      </c>
      <c r="B174" s="8" t="n">
        <v>239362.19</v>
      </c>
      <c r="C174" s="8" t="n">
        <v>227135.63</v>
      </c>
      <c r="D174" s="27" t="n">
        <v>6.03</v>
      </c>
      <c r="E174" s="10" t="n">
        <v>681</v>
      </c>
      <c r="F174" s="12" t="n">
        <v>80</v>
      </c>
      <c r="G174" s="12" t="n">
        <v>52.7</v>
      </c>
      <c r="H174" s="10" t="n">
        <v>46</v>
      </c>
      <c r="I174" s="10" t="n">
        <v>314</v>
      </c>
      <c r="J174" s="7" t="inlineStr">
        <is>
          <t>AZ</t>
        </is>
      </c>
      <c r="K174" s="7" t="inlineStr">
        <is>
          <t>Condo</t>
        </is>
      </c>
      <c r="L174" s="7" t="inlineStr">
        <is>
          <t>Coastal Mortgage Co</t>
        </is>
      </c>
      <c r="M174" s="7" t="inlineStr">
        <is>
          <t>Northgate Servicing</t>
        </is>
      </c>
    </row>
    <row r="175">
      <c r="A175" s="5" t="inlineStr">
        <is>
          <t>L100170</t>
        </is>
      </c>
      <c r="B175" s="16" t="n">
        <v>193073.13</v>
      </c>
      <c r="C175" s="16" t="n">
        <v>191234.75</v>
      </c>
      <c r="D175" s="26" t="n">
        <v>5.782</v>
      </c>
      <c r="E175" s="6" t="n">
        <v>668</v>
      </c>
      <c r="F175" s="11" t="n">
        <v>86.7</v>
      </c>
      <c r="G175" s="11" t="n">
        <v>46.6</v>
      </c>
      <c r="H175" s="6" t="n">
        <v>9</v>
      </c>
      <c r="I175" s="6" t="n">
        <v>351</v>
      </c>
      <c r="J175" s="5" t="inlineStr">
        <is>
          <t>NC</t>
        </is>
      </c>
      <c r="K175" s="5" t="inlineStr">
        <is>
          <t>Multifamily</t>
        </is>
      </c>
      <c r="L175" s="5" t="inlineStr">
        <is>
          <t>Meridian Home Loans</t>
        </is>
      </c>
      <c r="M175" s="5" t="inlineStr">
        <is>
          <t>Pier Asset Mgmt</t>
        </is>
      </c>
    </row>
    <row r="176">
      <c r="A176" s="7" t="inlineStr">
        <is>
          <t>L100171</t>
        </is>
      </c>
      <c r="B176" s="8" t="n">
        <v>283828.45</v>
      </c>
      <c r="C176" s="8" t="n">
        <v>277626.31</v>
      </c>
      <c r="D176" s="27" t="n">
        <v>5.752</v>
      </c>
      <c r="E176" s="10" t="n">
        <v>656</v>
      </c>
      <c r="F176" s="12" t="n">
        <v>81.3</v>
      </c>
      <c r="G176" s="12" t="n">
        <v>21.2</v>
      </c>
      <c r="H176" s="10" t="n">
        <v>20</v>
      </c>
      <c r="I176" s="10" t="n">
        <v>340</v>
      </c>
      <c r="J176" s="7" t="inlineStr">
        <is>
          <t>CA</t>
        </is>
      </c>
      <c r="K176" s="7" t="inlineStr">
        <is>
          <t>2-4 Unit</t>
        </is>
      </c>
      <c r="L176" s="7" t="inlineStr">
        <is>
          <t>Coastal Mortgage Co</t>
        </is>
      </c>
      <c r="M176" s="7" t="inlineStr">
        <is>
          <t>Pier Asset Mgmt</t>
        </is>
      </c>
    </row>
    <row r="177">
      <c r="A177" s="5" t="inlineStr">
        <is>
          <t>L100172</t>
        </is>
      </c>
      <c r="B177" s="16" t="n">
        <v>207058.32</v>
      </c>
      <c r="C177" s="16" t="n">
        <v>197377.01</v>
      </c>
      <c r="D177" s="26" t="n">
        <v>6.106</v>
      </c>
      <c r="E177" s="6" t="n">
        <v>699</v>
      </c>
      <c r="F177" s="11" t="n">
        <v>74.90000000000001</v>
      </c>
      <c r="G177" s="11" t="n">
        <v>33.5</v>
      </c>
      <c r="H177" s="6" t="n">
        <v>43</v>
      </c>
      <c r="I177" s="6" t="n">
        <v>317</v>
      </c>
      <c r="J177" s="5" t="inlineStr">
        <is>
          <t>CA</t>
        </is>
      </c>
      <c r="K177" s="5" t="inlineStr">
        <is>
          <t>SFR</t>
        </is>
      </c>
      <c r="L177" s="5" t="inlineStr">
        <is>
          <t>Apex Funding</t>
        </is>
      </c>
      <c r="M177" s="5" t="inlineStr">
        <is>
          <t>Pier Asset Mgmt</t>
        </is>
      </c>
    </row>
    <row r="178">
      <c r="A178" s="7" t="inlineStr">
        <is>
          <t>L100173</t>
        </is>
      </c>
      <c r="B178" s="8" t="n">
        <v>158108.69</v>
      </c>
      <c r="C178" s="8" t="n">
        <v>151886.95</v>
      </c>
      <c r="D178" s="27" t="n">
        <v>6.308</v>
      </c>
      <c r="E178" s="10" t="n">
        <v>648</v>
      </c>
      <c r="F178" s="12" t="n">
        <v>65</v>
      </c>
      <c r="G178" s="12" t="n">
        <v>26.4</v>
      </c>
      <c r="H178" s="10" t="n">
        <v>38</v>
      </c>
      <c r="I178" s="10" t="n">
        <v>322</v>
      </c>
      <c r="J178" s="7" t="inlineStr">
        <is>
          <t>TX</t>
        </is>
      </c>
      <c r="K178" s="7" t="inlineStr">
        <is>
          <t>SFR</t>
        </is>
      </c>
      <c r="L178" s="7" t="inlineStr">
        <is>
          <t>Highline Capital</t>
        </is>
      </c>
      <c r="M178" s="7" t="inlineStr">
        <is>
          <t>Summit Loan Servicing</t>
        </is>
      </c>
    </row>
    <row r="179">
      <c r="A179" s="5" t="inlineStr">
        <is>
          <t>L100174</t>
        </is>
      </c>
      <c r="B179" s="16" t="n">
        <v>155239.11</v>
      </c>
      <c r="C179" s="16" t="n">
        <v>150005.24</v>
      </c>
      <c r="D179" s="26" t="n">
        <v>6.837</v>
      </c>
      <c r="E179" s="6" t="n">
        <v>733</v>
      </c>
      <c r="F179" s="11" t="n">
        <v>61.1</v>
      </c>
      <c r="G179" s="11" t="n">
        <v>49.7</v>
      </c>
      <c r="H179" s="6" t="n">
        <v>36</v>
      </c>
      <c r="I179" s="6" t="n">
        <v>324</v>
      </c>
      <c r="J179" s="5" t="inlineStr">
        <is>
          <t>OH</t>
        </is>
      </c>
      <c r="K179" s="5" t="inlineStr">
        <is>
          <t>SFR</t>
        </is>
      </c>
      <c r="L179" s="5" t="inlineStr">
        <is>
          <t>Meridian Home Loans</t>
        </is>
      </c>
      <c r="M179" s="5" t="inlineStr">
        <is>
          <t>Summit Loan Servicing</t>
        </is>
      </c>
    </row>
    <row r="180">
      <c r="A180" s="7" t="inlineStr">
        <is>
          <t>L100175</t>
        </is>
      </c>
      <c r="B180" s="8" t="n">
        <v>257920.27</v>
      </c>
      <c r="C180" s="8" t="n">
        <v>250171.91</v>
      </c>
      <c r="D180" s="27" t="n">
        <v>5.286</v>
      </c>
      <c r="E180" s="10" t="n">
        <v>718</v>
      </c>
      <c r="F180" s="12" t="n">
        <v>67.90000000000001</v>
      </c>
      <c r="G180" s="12" t="n">
        <v>38</v>
      </c>
      <c r="H180" s="10" t="n">
        <v>25</v>
      </c>
      <c r="I180" s="10" t="n">
        <v>335</v>
      </c>
      <c r="J180" s="7" t="inlineStr">
        <is>
          <t>CA</t>
        </is>
      </c>
      <c r="K180" s="7" t="inlineStr">
        <is>
          <t>Condo</t>
        </is>
      </c>
      <c r="L180" s="7" t="inlineStr">
        <is>
          <t>Apex Funding</t>
        </is>
      </c>
      <c r="M180" s="7" t="inlineStr">
        <is>
          <t>Pier Asset Mgmt</t>
        </is>
      </c>
    </row>
    <row r="181">
      <c r="A181" s="5" t="inlineStr">
        <is>
          <t>L100176</t>
        </is>
      </c>
      <c r="B181" s="16" t="n">
        <v>421966.81</v>
      </c>
      <c r="C181" s="16" t="n">
        <v>401650.34</v>
      </c>
      <c r="D181" s="26" t="n">
        <v>5.786</v>
      </c>
      <c r="E181" s="6" t="n">
        <v>741</v>
      </c>
      <c r="F181" s="11" t="n">
        <v>78.90000000000001</v>
      </c>
      <c r="G181" s="11" t="n">
        <v>29.9</v>
      </c>
      <c r="H181" s="6" t="n">
        <v>42</v>
      </c>
      <c r="I181" s="6" t="n">
        <v>318</v>
      </c>
      <c r="J181" s="5" t="inlineStr">
        <is>
          <t>CA</t>
        </is>
      </c>
      <c r="K181" s="5" t="inlineStr">
        <is>
          <t>SFR</t>
        </is>
      </c>
      <c r="L181" s="5" t="inlineStr">
        <is>
          <t>Meridian Home Loans</t>
        </is>
      </c>
      <c r="M181" s="5" t="inlineStr">
        <is>
          <t>Pier Asset Mgmt</t>
        </is>
      </c>
    </row>
    <row r="182">
      <c r="A182" s="7" t="inlineStr">
        <is>
          <t>L100177</t>
        </is>
      </c>
      <c r="B182" s="8" t="n">
        <v>256785.67</v>
      </c>
      <c r="C182" s="8" t="n">
        <v>247031.49</v>
      </c>
      <c r="D182" s="27" t="n">
        <v>6.256</v>
      </c>
      <c r="E182" s="10" t="n">
        <v>743</v>
      </c>
      <c r="F182" s="12" t="n">
        <v>78</v>
      </c>
      <c r="G182" s="12" t="n">
        <v>36.3</v>
      </c>
      <c r="H182" s="10" t="n">
        <v>11</v>
      </c>
      <c r="I182" s="10" t="n">
        <v>169</v>
      </c>
      <c r="J182" s="7" t="inlineStr">
        <is>
          <t>AZ</t>
        </is>
      </c>
      <c r="K182" s="7" t="inlineStr">
        <is>
          <t>SFR</t>
        </is>
      </c>
      <c r="L182" s="7" t="inlineStr">
        <is>
          <t>Meridian Home Loans</t>
        </is>
      </c>
      <c r="M182" s="7" t="inlineStr">
        <is>
          <t>Pier Asset Mgmt</t>
        </is>
      </c>
    </row>
    <row r="183">
      <c r="A183" s="5" t="inlineStr">
        <is>
          <t>L100178</t>
        </is>
      </c>
      <c r="B183" s="16" t="n">
        <v>232926.12</v>
      </c>
      <c r="C183" s="16" t="n">
        <v>223352.52</v>
      </c>
      <c r="D183" s="26" t="n">
        <v>6.224</v>
      </c>
      <c r="E183" s="6" t="n">
        <v>748</v>
      </c>
      <c r="F183" s="11" t="n">
        <v>48.8</v>
      </c>
      <c r="G183" s="11" t="n">
        <v>15.1</v>
      </c>
      <c r="H183" s="6" t="n">
        <v>39</v>
      </c>
      <c r="I183" s="6" t="n">
        <v>321</v>
      </c>
      <c r="J183" s="5" t="inlineStr">
        <is>
          <t>NC</t>
        </is>
      </c>
      <c r="K183" s="5" t="inlineStr">
        <is>
          <t>SFR</t>
        </is>
      </c>
      <c r="L183" s="5" t="inlineStr">
        <is>
          <t>Highline Capital</t>
        </is>
      </c>
      <c r="M183" s="5" t="inlineStr">
        <is>
          <t>Pier Asset Mgmt</t>
        </is>
      </c>
    </row>
    <row r="184">
      <c r="A184" s="7" t="inlineStr">
        <is>
          <t>L100179</t>
        </is>
      </c>
      <c r="B184" s="8" t="n">
        <v>268347.79</v>
      </c>
      <c r="C184" s="8" t="n">
        <v>262880.95</v>
      </c>
      <c r="D184" s="27" t="n">
        <v>8.053000000000001</v>
      </c>
      <c r="E184" s="10" t="n">
        <v>694</v>
      </c>
      <c r="F184" s="12" t="n">
        <v>64.59999999999999</v>
      </c>
      <c r="G184" s="12" t="n">
        <v>27.3</v>
      </c>
      <c r="H184" s="10" t="n">
        <v>28</v>
      </c>
      <c r="I184" s="10" t="n">
        <v>332</v>
      </c>
      <c r="J184" s="7" t="inlineStr">
        <is>
          <t>WA</t>
        </is>
      </c>
      <c r="K184" s="7" t="inlineStr">
        <is>
          <t>Condo</t>
        </is>
      </c>
      <c r="L184" s="7" t="inlineStr">
        <is>
          <t>Apex Funding</t>
        </is>
      </c>
      <c r="M184" s="7" t="inlineStr">
        <is>
          <t>Summit Loan Servicing</t>
        </is>
      </c>
    </row>
    <row r="185">
      <c r="A185" s="5" t="inlineStr">
        <is>
          <t>L100180</t>
        </is>
      </c>
      <c r="B185" s="16" t="n">
        <v>383502.19</v>
      </c>
      <c r="C185" s="16" t="n">
        <v>377470.81</v>
      </c>
      <c r="D185" s="26" t="n">
        <v>6.609</v>
      </c>
      <c r="E185" s="6" t="n">
        <v>820</v>
      </c>
      <c r="F185" s="11" t="n">
        <v>88.5</v>
      </c>
      <c r="G185" s="11" t="n">
        <v>36.3</v>
      </c>
      <c r="H185" s="6" t="n">
        <v>17</v>
      </c>
      <c r="I185" s="6" t="n">
        <v>343</v>
      </c>
      <c r="J185" s="5" t="inlineStr">
        <is>
          <t>FL</t>
        </is>
      </c>
      <c r="K185" s="5" t="inlineStr">
        <is>
          <t>SFR</t>
        </is>
      </c>
      <c r="L185" s="5" t="inlineStr">
        <is>
          <t>Meridian Home Loans</t>
        </is>
      </c>
      <c r="M185" s="5" t="inlineStr">
        <is>
          <t>Pier Asset Mgmt</t>
        </is>
      </c>
    </row>
    <row r="186">
      <c r="A186" s="7" t="inlineStr">
        <is>
          <t>L100181</t>
        </is>
      </c>
      <c r="B186" s="8" t="n">
        <v>262179.29</v>
      </c>
      <c r="C186" s="8" t="n">
        <v>258607.58</v>
      </c>
      <c r="D186" s="27" t="n">
        <v>4.948</v>
      </c>
      <c r="E186" s="10" t="n">
        <v>728</v>
      </c>
      <c r="F186" s="12" t="n">
        <v>75</v>
      </c>
      <c r="G186" s="12" t="n">
        <v>42.8</v>
      </c>
      <c r="H186" s="10" t="n">
        <v>11</v>
      </c>
      <c r="I186" s="10" t="n">
        <v>349</v>
      </c>
      <c r="J186" s="7" t="inlineStr">
        <is>
          <t>NC</t>
        </is>
      </c>
      <c r="K186" s="7" t="inlineStr">
        <is>
          <t>SFR</t>
        </is>
      </c>
      <c r="L186" s="7" t="inlineStr">
        <is>
          <t>Meridian Home Loans</t>
        </is>
      </c>
      <c r="M186" s="7" t="inlineStr">
        <is>
          <t>Summit Loan Servicing</t>
        </is>
      </c>
    </row>
    <row r="187">
      <c r="A187" s="5" t="inlineStr">
        <is>
          <t>L100182</t>
        </is>
      </c>
      <c r="B187" s="16" t="n">
        <v>210275.84</v>
      </c>
      <c r="C187" s="16" t="n">
        <v>205453.99</v>
      </c>
      <c r="D187" s="26" t="n">
        <v>6.776</v>
      </c>
      <c r="E187" s="6" t="n">
        <v>613</v>
      </c>
      <c r="F187" s="11" t="n">
        <v>57</v>
      </c>
      <c r="G187" s="11" t="n">
        <v>20.5</v>
      </c>
      <c r="H187" s="6" t="n">
        <v>25</v>
      </c>
      <c r="I187" s="6" t="n">
        <v>335</v>
      </c>
      <c r="J187" s="5" t="inlineStr">
        <is>
          <t>TX</t>
        </is>
      </c>
      <c r="K187" s="5" t="inlineStr">
        <is>
          <t>2-4 Unit</t>
        </is>
      </c>
      <c r="L187" s="5" t="inlineStr">
        <is>
          <t>Meridian Home Loans</t>
        </is>
      </c>
      <c r="M187" s="5" t="inlineStr">
        <is>
          <t>Pier Asset Mgmt</t>
        </is>
      </c>
    </row>
    <row r="188">
      <c r="A188" s="7" t="inlineStr">
        <is>
          <t>L100183</t>
        </is>
      </c>
      <c r="B188" s="8" t="n">
        <v>357610.99</v>
      </c>
      <c r="C188" s="8" t="n">
        <v>357311.49</v>
      </c>
      <c r="D188" s="27" t="n">
        <v>6.891</v>
      </c>
      <c r="E188" s="10" t="n">
        <v>660</v>
      </c>
      <c r="F188" s="12" t="n">
        <v>97</v>
      </c>
      <c r="G188" s="12" t="n">
        <v>33</v>
      </c>
      <c r="H188" s="10" t="n">
        <v>1</v>
      </c>
      <c r="I188" s="10" t="n">
        <v>359</v>
      </c>
      <c r="J188" s="7" t="inlineStr">
        <is>
          <t>GA</t>
        </is>
      </c>
      <c r="K188" s="7" t="inlineStr">
        <is>
          <t>Condo</t>
        </is>
      </c>
      <c r="L188" s="7" t="inlineStr">
        <is>
          <t>Coastal Mortgage Co</t>
        </is>
      </c>
      <c r="M188" s="7" t="inlineStr">
        <is>
          <t>Northgate Servicing</t>
        </is>
      </c>
    </row>
    <row r="189">
      <c r="A189" s="5" t="inlineStr">
        <is>
          <t>L100184</t>
        </is>
      </c>
      <c r="B189" s="16" t="n">
        <v>282113.5</v>
      </c>
      <c r="C189" s="16" t="n">
        <v>272250.46</v>
      </c>
      <c r="D189" s="26" t="n">
        <v>6.287</v>
      </c>
      <c r="E189" s="6" t="n">
        <v>619</v>
      </c>
      <c r="F189" s="11" t="n">
        <v>73.7</v>
      </c>
      <c r="G189" s="11" t="n">
        <v>44.1</v>
      </c>
      <c r="H189" s="6" t="n">
        <v>34</v>
      </c>
      <c r="I189" s="6" t="n">
        <v>326</v>
      </c>
      <c r="J189" s="5" t="inlineStr">
        <is>
          <t>TX</t>
        </is>
      </c>
      <c r="K189" s="5" t="inlineStr">
        <is>
          <t>SFR</t>
        </is>
      </c>
      <c r="L189" s="5" t="inlineStr">
        <is>
          <t>Meridian Home Loans</t>
        </is>
      </c>
      <c r="M189" s="5" t="inlineStr">
        <is>
          <t>Summit Loan Servicing</t>
        </is>
      </c>
    </row>
    <row r="190">
      <c r="A190" s="7" t="inlineStr">
        <is>
          <t>L100185</t>
        </is>
      </c>
      <c r="B190" s="8" t="n">
        <v>415614.99</v>
      </c>
      <c r="C190" s="8" t="n">
        <v>409816.17</v>
      </c>
      <c r="D190" s="27" t="n">
        <v>5.308</v>
      </c>
      <c r="E190" s="10" t="n">
        <v>716</v>
      </c>
      <c r="F190" s="12" t="n">
        <v>78.59999999999999</v>
      </c>
      <c r="G190" s="12" t="n">
        <v>24.4</v>
      </c>
      <c r="H190" s="10" t="n">
        <v>12</v>
      </c>
      <c r="I190" s="10" t="n">
        <v>348</v>
      </c>
      <c r="J190" s="7" t="inlineStr">
        <is>
          <t>WA</t>
        </is>
      </c>
      <c r="K190" s="7" t="inlineStr">
        <is>
          <t>SFR</t>
        </is>
      </c>
      <c r="L190" s="7" t="inlineStr">
        <is>
          <t>Apex Funding</t>
        </is>
      </c>
      <c r="M190" s="7" t="inlineStr">
        <is>
          <t>Pier Asset Mgmt</t>
        </is>
      </c>
    </row>
    <row r="191">
      <c r="A191" s="5" t="inlineStr">
        <is>
          <t>L100186</t>
        </is>
      </c>
      <c r="B191" s="16" t="n">
        <v>258883.14</v>
      </c>
      <c r="C191" s="16" t="n">
        <v>255364.69</v>
      </c>
      <c r="D191" s="26" t="n">
        <v>7.982</v>
      </c>
      <c r="E191" s="6" t="n">
        <v>708</v>
      </c>
      <c r="F191" s="11" t="n">
        <v>78.8</v>
      </c>
      <c r="G191" s="11" t="n">
        <v>37.8</v>
      </c>
      <c r="H191" s="6" t="n">
        <v>19</v>
      </c>
      <c r="I191" s="6" t="n">
        <v>341</v>
      </c>
      <c r="J191" s="5" t="inlineStr">
        <is>
          <t>IL</t>
        </is>
      </c>
      <c r="K191" s="5" t="inlineStr">
        <is>
          <t>Multifamily</t>
        </is>
      </c>
      <c r="L191" s="5" t="inlineStr">
        <is>
          <t>Coastal Mortgage Co</t>
        </is>
      </c>
      <c r="M191" s="5" t="inlineStr">
        <is>
          <t>Pier Asset Mgmt</t>
        </is>
      </c>
    </row>
    <row r="192">
      <c r="A192" s="7" t="inlineStr">
        <is>
          <t>L100187</t>
        </is>
      </c>
      <c r="B192" s="8" t="n">
        <v>158171.61</v>
      </c>
      <c r="C192" s="8" t="n">
        <v>152349.25</v>
      </c>
      <c r="D192" s="27" t="n">
        <v>5.437</v>
      </c>
      <c r="E192" s="10" t="n">
        <v>689</v>
      </c>
      <c r="F192" s="12" t="n">
        <v>69.59999999999999</v>
      </c>
      <c r="G192" s="12" t="n">
        <v>36.5</v>
      </c>
      <c r="H192" s="10" t="n">
        <v>10</v>
      </c>
      <c r="I192" s="10" t="n">
        <v>170</v>
      </c>
      <c r="J192" s="7" t="inlineStr">
        <is>
          <t>FL</t>
        </is>
      </c>
      <c r="K192" s="7" t="inlineStr">
        <is>
          <t>SFR</t>
        </is>
      </c>
      <c r="L192" s="7" t="inlineStr">
        <is>
          <t>Apex Funding</t>
        </is>
      </c>
      <c r="M192" s="7" t="inlineStr">
        <is>
          <t>Northgate Servicing</t>
        </is>
      </c>
    </row>
    <row r="193">
      <c r="A193" s="5" t="inlineStr">
        <is>
          <t>L100188</t>
        </is>
      </c>
      <c r="B193" s="16" t="n">
        <v>150413.63</v>
      </c>
      <c r="C193" s="16" t="n">
        <v>147525.68</v>
      </c>
      <c r="D193" s="26" t="n">
        <v>6.995</v>
      </c>
      <c r="E193" s="6" t="n">
        <v>820</v>
      </c>
      <c r="F193" s="11" t="n">
        <v>65.3</v>
      </c>
      <c r="G193" s="11" t="n">
        <v>49.7</v>
      </c>
      <c r="H193" s="6" t="n">
        <v>22</v>
      </c>
      <c r="I193" s="6" t="n">
        <v>338</v>
      </c>
      <c r="J193" s="5" t="inlineStr">
        <is>
          <t>WA</t>
        </is>
      </c>
      <c r="K193" s="5" t="inlineStr">
        <is>
          <t>SFR</t>
        </is>
      </c>
      <c r="L193" s="5" t="inlineStr">
        <is>
          <t>Meridian Home Loans</t>
        </is>
      </c>
      <c r="M193" s="5" t="inlineStr">
        <is>
          <t>Pier Asset Mgmt</t>
        </is>
      </c>
    </row>
    <row r="194">
      <c r="A194" s="7" t="inlineStr">
        <is>
          <t>L100189</t>
        </is>
      </c>
      <c r="B194" s="8" t="n">
        <v>432710.75</v>
      </c>
      <c r="C194" s="8" t="n">
        <v>406004.35</v>
      </c>
      <c r="D194" s="27" t="n">
        <v>6.58</v>
      </c>
      <c r="E194" s="10" t="n">
        <v>745</v>
      </c>
      <c r="F194" s="12" t="n">
        <v>97</v>
      </c>
      <c r="G194" s="12" t="n">
        <v>34.2</v>
      </c>
      <c r="H194" s="10" t="n">
        <v>18</v>
      </c>
      <c r="I194" s="10" t="n">
        <v>162</v>
      </c>
      <c r="J194" s="7" t="inlineStr">
        <is>
          <t>CA</t>
        </is>
      </c>
      <c r="K194" s="7" t="inlineStr">
        <is>
          <t>Multifamily</t>
        </is>
      </c>
      <c r="L194" s="7" t="inlineStr">
        <is>
          <t>Meridian Home Loans</t>
        </is>
      </c>
      <c r="M194" s="7" t="inlineStr">
        <is>
          <t>Summit Loan Servicing</t>
        </is>
      </c>
    </row>
    <row r="195">
      <c r="A195" s="5" t="inlineStr">
        <is>
          <t>L100190</t>
        </is>
      </c>
      <c r="B195" s="16" t="n">
        <v>443868.22</v>
      </c>
      <c r="C195" s="16" t="n">
        <v>430902.93</v>
      </c>
      <c r="D195" s="26" t="n">
        <v>6.941</v>
      </c>
      <c r="E195" s="6" t="n">
        <v>755</v>
      </c>
      <c r="F195" s="11" t="n">
        <v>86</v>
      </c>
      <c r="G195" s="11" t="n">
        <v>34.6</v>
      </c>
      <c r="H195" s="6" t="n">
        <v>9</v>
      </c>
      <c r="I195" s="6" t="n">
        <v>171</v>
      </c>
      <c r="J195" s="5" t="inlineStr">
        <is>
          <t>AZ</t>
        </is>
      </c>
      <c r="K195" s="5" t="inlineStr">
        <is>
          <t>SFR</t>
        </is>
      </c>
      <c r="L195" s="5" t="inlineStr">
        <is>
          <t>Meridian Home Loans</t>
        </is>
      </c>
      <c r="M195" s="5" t="inlineStr">
        <is>
          <t>Summit Loan Servicing</t>
        </is>
      </c>
    </row>
    <row r="196">
      <c r="A196" s="7" t="inlineStr">
        <is>
          <t>L100191</t>
        </is>
      </c>
      <c r="B196" s="8" t="n">
        <v>228015.36</v>
      </c>
      <c r="C196" s="8" t="n">
        <v>220540.03</v>
      </c>
      <c r="D196" s="27" t="n">
        <v>7.936</v>
      </c>
      <c r="E196" s="10" t="n">
        <v>664</v>
      </c>
      <c r="F196" s="12" t="n">
        <v>83.90000000000001</v>
      </c>
      <c r="G196" s="12" t="n">
        <v>42.8</v>
      </c>
      <c r="H196" s="10" t="n">
        <v>42</v>
      </c>
      <c r="I196" s="10" t="n">
        <v>318</v>
      </c>
      <c r="J196" s="7" t="inlineStr">
        <is>
          <t>GA</t>
        </is>
      </c>
      <c r="K196" s="7" t="inlineStr">
        <is>
          <t>SFR</t>
        </is>
      </c>
      <c r="L196" s="7" t="inlineStr">
        <is>
          <t>Meridian Home Loans</t>
        </is>
      </c>
      <c r="M196" s="7" t="inlineStr">
        <is>
          <t>Summit Loan Servicing</t>
        </is>
      </c>
    </row>
    <row r="197">
      <c r="A197" s="5" t="inlineStr">
        <is>
          <t>L100192</t>
        </is>
      </c>
      <c r="B197" s="16" t="n">
        <v>212327.34</v>
      </c>
      <c r="C197" s="16" t="n">
        <v>205256.58</v>
      </c>
      <c r="D197" s="26" t="n">
        <v>6.905</v>
      </c>
      <c r="E197" s="6" t="n">
        <v>660</v>
      </c>
      <c r="F197" s="11" t="n">
        <v>80.90000000000001</v>
      </c>
      <c r="G197" s="11" t="n">
        <v>25.4</v>
      </c>
      <c r="H197" s="6" t="n">
        <v>36</v>
      </c>
      <c r="I197" s="6" t="n">
        <v>324</v>
      </c>
      <c r="J197" s="5" t="inlineStr">
        <is>
          <t>NC</t>
        </is>
      </c>
      <c r="K197" s="5" t="inlineStr">
        <is>
          <t>SFR</t>
        </is>
      </c>
      <c r="L197" s="5" t="inlineStr">
        <is>
          <t>Meridian Home Loans</t>
        </is>
      </c>
      <c r="M197" s="5" t="inlineStr">
        <is>
          <t>Summit Loan Servicing</t>
        </is>
      </c>
    </row>
    <row r="198">
      <c r="A198" s="7" t="inlineStr">
        <is>
          <t>L100193</t>
        </is>
      </c>
      <c r="B198" s="8" t="n">
        <v>404944.58</v>
      </c>
      <c r="C198" s="8" t="n">
        <v>396777.78</v>
      </c>
      <c r="D198" s="27" t="n">
        <v>5.897</v>
      </c>
      <c r="E198" s="10" t="n">
        <v>717</v>
      </c>
      <c r="F198" s="12" t="n">
        <v>62</v>
      </c>
      <c r="G198" s="12" t="n">
        <v>34.2</v>
      </c>
      <c r="H198" s="10" t="n">
        <v>19</v>
      </c>
      <c r="I198" s="10" t="n">
        <v>341</v>
      </c>
      <c r="J198" s="7" t="inlineStr">
        <is>
          <t>FL</t>
        </is>
      </c>
      <c r="K198" s="7" t="inlineStr">
        <is>
          <t>SFR</t>
        </is>
      </c>
      <c r="L198" s="7" t="inlineStr">
        <is>
          <t>Coastal Mortgage Co</t>
        </is>
      </c>
      <c r="M198" s="7" t="inlineStr">
        <is>
          <t>Northgate Servicing</t>
        </is>
      </c>
    </row>
    <row r="199">
      <c r="A199" s="5" t="inlineStr">
        <is>
          <t>L100194</t>
        </is>
      </c>
      <c r="B199" s="16" t="n">
        <v>164807.6</v>
      </c>
      <c r="C199" s="16" t="n">
        <v>163291.27</v>
      </c>
      <c r="D199" s="26" t="n">
        <v>7.395</v>
      </c>
      <c r="E199" s="6" t="n">
        <v>725</v>
      </c>
      <c r="F199" s="11" t="n">
        <v>89.3</v>
      </c>
      <c r="G199" s="11" t="n">
        <v>32.4</v>
      </c>
      <c r="H199" s="6" t="n">
        <v>3</v>
      </c>
      <c r="I199" s="6" t="n">
        <v>177</v>
      </c>
      <c r="J199" s="5" t="inlineStr">
        <is>
          <t>OH</t>
        </is>
      </c>
      <c r="K199" s="5" t="inlineStr">
        <is>
          <t>SFR</t>
        </is>
      </c>
      <c r="L199" s="5" t="inlineStr">
        <is>
          <t>Highline Capital</t>
        </is>
      </c>
      <c r="M199" s="5" t="inlineStr">
        <is>
          <t>Northgate Servicing</t>
        </is>
      </c>
    </row>
    <row r="200">
      <c r="A200" s="7" t="inlineStr">
        <is>
          <t>L100195</t>
        </is>
      </c>
      <c r="B200" s="8" t="n">
        <v>177521.24</v>
      </c>
      <c r="C200" s="8" t="n">
        <v>169485.8</v>
      </c>
      <c r="D200" s="27" t="n">
        <v>5.832</v>
      </c>
      <c r="E200" s="10" t="n">
        <v>613</v>
      </c>
      <c r="F200" s="12" t="n">
        <v>63.9</v>
      </c>
      <c r="G200" s="12" t="n">
        <v>34.9</v>
      </c>
      <c r="H200" s="10" t="n">
        <v>40</v>
      </c>
      <c r="I200" s="10" t="n">
        <v>320</v>
      </c>
      <c r="J200" s="7" t="inlineStr">
        <is>
          <t>IL</t>
        </is>
      </c>
      <c r="K200" s="7" t="inlineStr">
        <is>
          <t>Condo</t>
        </is>
      </c>
      <c r="L200" s="7" t="inlineStr">
        <is>
          <t>Apex Funding</t>
        </is>
      </c>
      <c r="M200" s="7" t="inlineStr">
        <is>
          <t>Summit Loan Servicing</t>
        </is>
      </c>
    </row>
    <row r="201">
      <c r="A201" s="5" t="inlineStr">
        <is>
          <t>L100196</t>
        </is>
      </c>
      <c r="B201" s="16" t="n">
        <v>304115.97</v>
      </c>
      <c r="C201" s="16" t="n">
        <v>268144.09</v>
      </c>
      <c r="D201" s="26" t="n">
        <v>6.547</v>
      </c>
      <c r="E201" s="6" t="n">
        <v>705</v>
      </c>
      <c r="F201" s="11" t="n">
        <v>77.40000000000001</v>
      </c>
      <c r="G201" s="11" t="n">
        <v>42.8</v>
      </c>
      <c r="H201" s="6" t="n">
        <v>33</v>
      </c>
      <c r="I201" s="6" t="n">
        <v>147</v>
      </c>
      <c r="J201" s="5" t="inlineStr">
        <is>
          <t>IL</t>
        </is>
      </c>
      <c r="K201" s="5" t="inlineStr">
        <is>
          <t>SFR</t>
        </is>
      </c>
      <c r="L201" s="5" t="inlineStr">
        <is>
          <t>Coastal Mortgage Co</t>
        </is>
      </c>
      <c r="M201" s="5" t="inlineStr">
        <is>
          <t>Northgate Servicing</t>
        </is>
      </c>
    </row>
    <row r="202">
      <c r="A202" s="7" t="inlineStr">
        <is>
          <t>L100197</t>
        </is>
      </c>
      <c r="B202" s="8" t="n">
        <v>211480.53</v>
      </c>
      <c r="C202" s="8" t="n">
        <v>189303.46</v>
      </c>
      <c r="D202" s="27" t="n">
        <v>5.236</v>
      </c>
      <c r="E202" s="10" t="n">
        <v>716</v>
      </c>
      <c r="F202" s="12" t="n">
        <v>54.3</v>
      </c>
      <c r="G202" s="12" t="n">
        <v>40.4</v>
      </c>
      <c r="H202" s="10" t="n">
        <v>27</v>
      </c>
      <c r="I202" s="10" t="n">
        <v>153</v>
      </c>
      <c r="J202" s="7" t="inlineStr">
        <is>
          <t>IL</t>
        </is>
      </c>
      <c r="K202" s="7" t="inlineStr">
        <is>
          <t>Condo</t>
        </is>
      </c>
      <c r="L202" s="7" t="inlineStr">
        <is>
          <t>Highline Capital</t>
        </is>
      </c>
      <c r="M202" s="7" t="inlineStr">
        <is>
          <t>Summit Loan Servicing</t>
        </is>
      </c>
    </row>
    <row r="203">
      <c r="A203" s="5" t="inlineStr">
        <is>
          <t>L100198</t>
        </is>
      </c>
      <c r="B203" s="16" t="n">
        <v>242366.75</v>
      </c>
      <c r="C203" s="16" t="n">
        <v>234115.38</v>
      </c>
      <c r="D203" s="26" t="n">
        <v>5.47</v>
      </c>
      <c r="E203" s="6" t="n">
        <v>703</v>
      </c>
      <c r="F203" s="11" t="n">
        <v>49.5</v>
      </c>
      <c r="G203" s="11" t="n">
        <v>30</v>
      </c>
      <c r="H203" s="6" t="n">
        <v>29</v>
      </c>
      <c r="I203" s="6" t="n">
        <v>331</v>
      </c>
      <c r="J203" s="5" t="inlineStr">
        <is>
          <t>FL</t>
        </is>
      </c>
      <c r="K203" s="5" t="inlineStr">
        <is>
          <t>2-4 Unit</t>
        </is>
      </c>
      <c r="L203" s="5" t="inlineStr">
        <is>
          <t>Highline Capital</t>
        </is>
      </c>
      <c r="M203" s="5" t="inlineStr">
        <is>
          <t>Northgate Servicing</t>
        </is>
      </c>
    </row>
    <row r="204">
      <c r="A204" s="7" t="inlineStr">
        <is>
          <t>L100199</t>
        </is>
      </c>
      <c r="B204" s="8" t="n">
        <v>229301.95</v>
      </c>
      <c r="C204" s="8" t="n">
        <v>229092.48</v>
      </c>
      <c r="D204" s="27" t="n">
        <v>6.446</v>
      </c>
      <c r="E204" s="10" t="n">
        <v>670</v>
      </c>
      <c r="F204" s="12" t="n">
        <v>77.8</v>
      </c>
      <c r="G204" s="12" t="n">
        <v>37.1</v>
      </c>
      <c r="H204" s="10" t="n">
        <v>1</v>
      </c>
      <c r="I204" s="10" t="n">
        <v>359</v>
      </c>
      <c r="J204" s="7" t="inlineStr">
        <is>
          <t>NY</t>
        </is>
      </c>
      <c r="K204" s="7" t="inlineStr">
        <is>
          <t>2-4 Unit</t>
        </is>
      </c>
      <c r="L204" s="7" t="inlineStr">
        <is>
          <t>Highline Capital</t>
        </is>
      </c>
      <c r="M204" s="7" t="inlineStr">
        <is>
          <t>Pier Asset Mgmt</t>
        </is>
      </c>
    </row>
    <row r="205">
      <c r="A205" s="5" t="inlineStr">
        <is>
          <t>L100200</t>
        </is>
      </c>
      <c r="B205" s="16" t="n">
        <v>273252.37</v>
      </c>
      <c r="C205" s="16" t="n">
        <v>267472.46</v>
      </c>
      <c r="D205" s="26" t="n">
        <v>6.731</v>
      </c>
      <c r="E205" s="6" t="n">
        <v>685</v>
      </c>
      <c r="F205" s="11" t="n">
        <v>64.3</v>
      </c>
      <c r="G205" s="11" t="n">
        <v>47.9</v>
      </c>
      <c r="H205" s="6" t="n">
        <v>23</v>
      </c>
      <c r="I205" s="6" t="n">
        <v>337</v>
      </c>
      <c r="J205" s="5" t="inlineStr">
        <is>
          <t>TX</t>
        </is>
      </c>
      <c r="K205" s="5" t="inlineStr">
        <is>
          <t>SFR</t>
        </is>
      </c>
      <c r="L205" s="5" t="inlineStr">
        <is>
          <t>Highline Capital</t>
        </is>
      </c>
      <c r="M205" s="5" t="inlineStr">
        <is>
          <t>Northgate Servicing</t>
        </is>
      </c>
    </row>
    <row r="206">
      <c r="A206" s="7" t="inlineStr">
        <is>
          <t>L100201</t>
        </is>
      </c>
      <c r="B206" s="8" t="n">
        <v>397368.23</v>
      </c>
      <c r="C206" s="8" t="n">
        <v>392893.06</v>
      </c>
      <c r="D206" s="27" t="n">
        <v>4.868</v>
      </c>
      <c r="E206" s="10" t="n">
        <v>705</v>
      </c>
      <c r="F206" s="12" t="n">
        <v>50.1</v>
      </c>
      <c r="G206" s="12" t="n">
        <v>29.3</v>
      </c>
      <c r="H206" s="10" t="n">
        <v>9</v>
      </c>
      <c r="I206" s="10" t="n">
        <v>351</v>
      </c>
      <c r="J206" s="7" t="inlineStr">
        <is>
          <t>IL</t>
        </is>
      </c>
      <c r="K206" s="7" t="inlineStr">
        <is>
          <t>Condo</t>
        </is>
      </c>
      <c r="L206" s="7" t="inlineStr">
        <is>
          <t>Apex Funding</t>
        </is>
      </c>
      <c r="M206" s="7" t="inlineStr">
        <is>
          <t>Summit Loan Servicing</t>
        </is>
      </c>
    </row>
    <row r="207">
      <c r="A207" s="5" t="inlineStr">
        <is>
          <t>L100202</t>
        </is>
      </c>
      <c r="B207" s="16" t="n">
        <v>250622.9</v>
      </c>
      <c r="C207" s="16" t="n">
        <v>243467.06</v>
      </c>
      <c r="D207" s="26" t="n">
        <v>6.848</v>
      </c>
      <c r="E207" s="6" t="n">
        <v>720</v>
      </c>
      <c r="F207" s="11" t="n">
        <v>80.5</v>
      </c>
      <c r="G207" s="11" t="n">
        <v>37.2</v>
      </c>
      <c r="H207" s="6" t="n">
        <v>31</v>
      </c>
      <c r="I207" s="6" t="n">
        <v>329</v>
      </c>
      <c r="J207" s="5" t="inlineStr">
        <is>
          <t>IL</t>
        </is>
      </c>
      <c r="K207" s="5" t="inlineStr">
        <is>
          <t>SFR</t>
        </is>
      </c>
      <c r="L207" s="5" t="inlineStr">
        <is>
          <t>Highline Capital</t>
        </is>
      </c>
      <c r="M207" s="5" t="inlineStr">
        <is>
          <t>Summit Loan Servicing</t>
        </is>
      </c>
    </row>
    <row r="208">
      <c r="A208" s="7" t="inlineStr">
        <is>
          <t>L100203</t>
        </is>
      </c>
      <c r="B208" s="8" t="n">
        <v>304181.12</v>
      </c>
      <c r="C208" s="8" t="n">
        <v>288433.84</v>
      </c>
      <c r="D208" s="27" t="n">
        <v>5.663</v>
      </c>
      <c r="E208" s="10" t="n">
        <v>748</v>
      </c>
      <c r="F208" s="12" t="n">
        <v>97</v>
      </c>
      <c r="G208" s="12" t="n">
        <v>34.5</v>
      </c>
      <c r="H208" s="10" t="n">
        <v>44</v>
      </c>
      <c r="I208" s="10" t="n">
        <v>316</v>
      </c>
      <c r="J208" s="7" t="inlineStr">
        <is>
          <t>NY</t>
        </is>
      </c>
      <c r="K208" s="7" t="inlineStr">
        <is>
          <t>Condo</t>
        </is>
      </c>
      <c r="L208" s="7" t="inlineStr">
        <is>
          <t>Coastal Mortgage Co</t>
        </is>
      </c>
      <c r="M208" s="7" t="inlineStr">
        <is>
          <t>Pier Asset Mgmt</t>
        </is>
      </c>
    </row>
    <row r="209">
      <c r="A209" s="5" t="inlineStr">
        <is>
          <t>L100204</t>
        </is>
      </c>
      <c r="B209" s="16" t="n">
        <v>118472.93</v>
      </c>
      <c r="C209" s="16" t="n">
        <v>116125.12</v>
      </c>
      <c r="D209" s="26" t="n">
        <v>7.552</v>
      </c>
      <c r="E209" s="6" t="n">
        <v>774</v>
      </c>
      <c r="F209" s="11" t="n">
        <v>90.7</v>
      </c>
      <c r="G209" s="11" t="n">
        <v>35.5</v>
      </c>
      <c r="H209" s="6" t="n">
        <v>25</v>
      </c>
      <c r="I209" s="6" t="n">
        <v>335</v>
      </c>
      <c r="J209" s="5" t="inlineStr">
        <is>
          <t>WA</t>
        </is>
      </c>
      <c r="K209" s="5" t="inlineStr">
        <is>
          <t>SFR</t>
        </is>
      </c>
      <c r="L209" s="5" t="inlineStr">
        <is>
          <t>Highline Capital</t>
        </is>
      </c>
      <c r="M209" s="5" t="inlineStr">
        <is>
          <t>Summit Loan Servicing</t>
        </is>
      </c>
    </row>
    <row r="210">
      <c r="A210" s="7" t="inlineStr">
        <is>
          <t>L100205</t>
        </is>
      </c>
      <c r="B210" s="8" t="n">
        <v>238696.6</v>
      </c>
      <c r="C210" s="8" t="n">
        <v>231410.15</v>
      </c>
      <c r="D210" s="27" t="n">
        <v>6.083</v>
      </c>
      <c r="E210" s="10" t="n">
        <v>699</v>
      </c>
      <c r="F210" s="12" t="n">
        <v>70.90000000000001</v>
      </c>
      <c r="G210" s="12" t="n">
        <v>23</v>
      </c>
      <c r="H210" s="10" t="n">
        <v>29</v>
      </c>
      <c r="I210" s="10" t="n">
        <v>331</v>
      </c>
      <c r="J210" s="7" t="inlineStr">
        <is>
          <t>TX</t>
        </is>
      </c>
      <c r="K210" s="7" t="inlineStr">
        <is>
          <t>Condo</t>
        </is>
      </c>
      <c r="L210" s="7" t="inlineStr">
        <is>
          <t>Meridian Home Loans</t>
        </is>
      </c>
      <c r="M210" s="7" t="inlineStr">
        <is>
          <t>Pier Asset Mgmt</t>
        </is>
      </c>
    </row>
    <row r="211">
      <c r="A211" s="5" t="inlineStr">
        <is>
          <t>L100206</t>
        </is>
      </c>
      <c r="B211" s="16" t="n">
        <v>180749.87</v>
      </c>
      <c r="C211" s="16" t="n">
        <v>173814.77</v>
      </c>
      <c r="D211" s="26" t="n">
        <v>5.389</v>
      </c>
      <c r="E211" s="6" t="n">
        <v>690</v>
      </c>
      <c r="F211" s="11" t="n">
        <v>74.09999999999999</v>
      </c>
      <c r="G211" s="11" t="n">
        <v>47.3</v>
      </c>
      <c r="H211" s="6" t="n">
        <v>32</v>
      </c>
      <c r="I211" s="6" t="n">
        <v>328</v>
      </c>
      <c r="J211" s="5" t="inlineStr">
        <is>
          <t>WA</t>
        </is>
      </c>
      <c r="K211" s="5" t="inlineStr">
        <is>
          <t>SFR</t>
        </is>
      </c>
      <c r="L211" s="5" t="inlineStr">
        <is>
          <t>Coastal Mortgage Co</t>
        </is>
      </c>
      <c r="M211" s="5" t="inlineStr">
        <is>
          <t>Summit Loan Servicing</t>
        </is>
      </c>
    </row>
    <row r="212">
      <c r="A212" s="7" t="inlineStr">
        <is>
          <t>L100207</t>
        </is>
      </c>
      <c r="B212" s="8" t="n">
        <v>158485.03</v>
      </c>
      <c r="C212" s="8" t="n">
        <v>151347.97</v>
      </c>
      <c r="D212" s="27" t="n">
        <v>6.468</v>
      </c>
      <c r="E212" s="10" t="n">
        <v>739</v>
      </c>
      <c r="F212" s="12" t="n">
        <v>84.7</v>
      </c>
      <c r="G212" s="12" t="n">
        <v>29.8</v>
      </c>
      <c r="H212" s="10" t="n">
        <v>44</v>
      </c>
      <c r="I212" s="10" t="n">
        <v>316</v>
      </c>
      <c r="J212" s="7" t="inlineStr">
        <is>
          <t>OH</t>
        </is>
      </c>
      <c r="K212" s="7" t="inlineStr">
        <is>
          <t>SFR</t>
        </is>
      </c>
      <c r="L212" s="7" t="inlineStr">
        <is>
          <t>Highline Capital</t>
        </is>
      </c>
      <c r="M212" s="7" t="inlineStr">
        <is>
          <t>Northgate Servicing</t>
        </is>
      </c>
    </row>
    <row r="213">
      <c r="A213" s="5" t="inlineStr">
        <is>
          <t>L100208</t>
        </is>
      </c>
      <c r="B213" s="16" t="n">
        <v>178554.06</v>
      </c>
      <c r="C213" s="16" t="n">
        <v>178167.77</v>
      </c>
      <c r="D213" s="26" t="n">
        <v>5.575</v>
      </c>
      <c r="E213" s="6" t="n">
        <v>749</v>
      </c>
      <c r="F213" s="11" t="n">
        <v>87.5</v>
      </c>
      <c r="G213" s="11" t="n">
        <v>44.2</v>
      </c>
      <c r="H213" s="6" t="n">
        <v>2</v>
      </c>
      <c r="I213" s="6" t="n">
        <v>358</v>
      </c>
      <c r="J213" s="5" t="inlineStr">
        <is>
          <t>CA</t>
        </is>
      </c>
      <c r="K213" s="5" t="inlineStr">
        <is>
          <t>SFR</t>
        </is>
      </c>
      <c r="L213" s="5" t="inlineStr">
        <is>
          <t>Meridian Home Loans</t>
        </is>
      </c>
      <c r="M213" s="5" t="inlineStr">
        <is>
          <t>Northgate Servicing</t>
        </is>
      </c>
    </row>
    <row r="214">
      <c r="A214" s="7" t="inlineStr">
        <is>
          <t>L100209</t>
        </is>
      </c>
      <c r="B214" s="8" t="n">
        <v>216004.99</v>
      </c>
      <c r="C214" s="8" t="n">
        <v>205814.75</v>
      </c>
      <c r="D214" s="27" t="n">
        <v>7.542</v>
      </c>
      <c r="E214" s="10" t="n">
        <v>691</v>
      </c>
      <c r="F214" s="12" t="n">
        <v>69.90000000000001</v>
      </c>
      <c r="G214" s="12" t="n">
        <v>31</v>
      </c>
      <c r="H214" s="10" t="n">
        <v>15</v>
      </c>
      <c r="I214" s="10" t="n">
        <v>165</v>
      </c>
      <c r="J214" s="7" t="inlineStr">
        <is>
          <t>AZ</t>
        </is>
      </c>
      <c r="K214" s="7" t="inlineStr">
        <is>
          <t>SFR</t>
        </is>
      </c>
      <c r="L214" s="7" t="inlineStr">
        <is>
          <t>Apex Funding</t>
        </is>
      </c>
      <c r="M214" s="7" t="inlineStr">
        <is>
          <t>Northgate Servicing</t>
        </is>
      </c>
    </row>
    <row r="215">
      <c r="A215" s="5" t="inlineStr">
        <is>
          <t>L100210</t>
        </is>
      </c>
      <c r="B215" s="16" t="n">
        <v>334558.12</v>
      </c>
      <c r="C215" s="16" t="n">
        <v>330418.47</v>
      </c>
      <c r="D215" s="26" t="n">
        <v>6.4</v>
      </c>
      <c r="E215" s="6" t="n">
        <v>758</v>
      </c>
      <c r="F215" s="11" t="n">
        <v>74.40000000000001</v>
      </c>
      <c r="G215" s="11" t="n">
        <v>31</v>
      </c>
      <c r="H215" s="6" t="n">
        <v>13</v>
      </c>
      <c r="I215" s="6" t="n">
        <v>347</v>
      </c>
      <c r="J215" s="5" t="inlineStr">
        <is>
          <t>FL</t>
        </is>
      </c>
      <c r="K215" s="5" t="inlineStr">
        <is>
          <t>SFR</t>
        </is>
      </c>
      <c r="L215" s="5" t="inlineStr">
        <is>
          <t>Coastal Mortgage Co</t>
        </is>
      </c>
      <c r="M215" s="5" t="inlineStr">
        <is>
          <t>Pier Asset Mgmt</t>
        </is>
      </c>
    </row>
    <row r="216">
      <c r="A216" s="7" t="inlineStr">
        <is>
          <t>L100211</t>
        </is>
      </c>
      <c r="B216" s="8" t="n">
        <v>152628.56</v>
      </c>
      <c r="C216" s="8" t="n">
        <v>133591.48</v>
      </c>
      <c r="D216" s="27" t="n">
        <v>6.263</v>
      </c>
      <c r="E216" s="10" t="n">
        <v>769</v>
      </c>
      <c r="F216" s="12" t="n">
        <v>77.59999999999999</v>
      </c>
      <c r="G216" s="12" t="n">
        <v>45.7</v>
      </c>
      <c r="H216" s="10" t="n">
        <v>34</v>
      </c>
      <c r="I216" s="10" t="n">
        <v>146</v>
      </c>
      <c r="J216" s="7" t="inlineStr">
        <is>
          <t>CA</t>
        </is>
      </c>
      <c r="K216" s="7" t="inlineStr">
        <is>
          <t>SFR</t>
        </is>
      </c>
      <c r="L216" s="7" t="inlineStr">
        <is>
          <t>Meridian Home Loans</t>
        </is>
      </c>
      <c r="M216" s="7" t="inlineStr">
        <is>
          <t>Summit Loan Servicing</t>
        </is>
      </c>
    </row>
    <row r="217">
      <c r="A217" s="5" t="inlineStr">
        <is>
          <t>L100212</t>
        </is>
      </c>
      <c r="B217" s="16" t="n">
        <v>245418.7</v>
      </c>
      <c r="C217" s="16" t="n">
        <v>240651.36</v>
      </c>
      <c r="D217" s="26" t="n">
        <v>6.933</v>
      </c>
      <c r="E217" s="6" t="n">
        <v>786</v>
      </c>
      <c r="F217" s="11" t="n">
        <v>80.59999999999999</v>
      </c>
      <c r="G217" s="11" t="n">
        <v>44</v>
      </c>
      <c r="H217" s="6" t="n">
        <v>22</v>
      </c>
      <c r="I217" s="6" t="n">
        <v>338</v>
      </c>
      <c r="J217" s="5" t="inlineStr">
        <is>
          <t>OH</t>
        </is>
      </c>
      <c r="K217" s="5" t="inlineStr">
        <is>
          <t>Condo</t>
        </is>
      </c>
      <c r="L217" s="5" t="inlineStr">
        <is>
          <t>Meridian Home Loans</t>
        </is>
      </c>
      <c r="M217" s="5" t="inlineStr">
        <is>
          <t>Northgate Servicing</t>
        </is>
      </c>
    </row>
    <row r="218">
      <c r="A218" s="7" t="inlineStr">
        <is>
          <t>L100213</t>
        </is>
      </c>
      <c r="B218" s="8" t="n">
        <v>204953.97</v>
      </c>
      <c r="C218" s="8" t="n">
        <v>195924.52</v>
      </c>
      <c r="D218" s="27" t="n">
        <v>5.496</v>
      </c>
      <c r="E218" s="10" t="n">
        <v>813</v>
      </c>
      <c r="F218" s="12" t="n">
        <v>72.40000000000001</v>
      </c>
      <c r="G218" s="12" t="n">
        <v>37.7</v>
      </c>
      <c r="H218" s="10" t="n">
        <v>37</v>
      </c>
      <c r="I218" s="10" t="n">
        <v>323</v>
      </c>
      <c r="J218" s="7" t="inlineStr">
        <is>
          <t>TX</t>
        </is>
      </c>
      <c r="K218" s="7" t="inlineStr">
        <is>
          <t>Condo</t>
        </is>
      </c>
      <c r="L218" s="7" t="inlineStr">
        <is>
          <t>Apex Funding</t>
        </is>
      </c>
      <c r="M218" s="7" t="inlineStr">
        <is>
          <t>Northgate Servicing</t>
        </is>
      </c>
    </row>
    <row r="219">
      <c r="A219" s="5" t="inlineStr">
        <is>
          <t>L100214</t>
        </is>
      </c>
      <c r="B219" s="16" t="n">
        <v>216493.2</v>
      </c>
      <c r="C219" s="16" t="n">
        <v>210487.6</v>
      </c>
      <c r="D219" s="26" t="n">
        <v>5.24</v>
      </c>
      <c r="E219" s="6" t="n">
        <v>667</v>
      </c>
      <c r="F219" s="11" t="n">
        <v>72.59999999999999</v>
      </c>
      <c r="G219" s="11" t="n">
        <v>42.1</v>
      </c>
      <c r="H219" s="6" t="n">
        <v>23</v>
      </c>
      <c r="I219" s="6" t="n">
        <v>337</v>
      </c>
      <c r="J219" s="5" t="inlineStr">
        <is>
          <t>FL</t>
        </is>
      </c>
      <c r="K219" s="5" t="inlineStr">
        <is>
          <t>SFR</t>
        </is>
      </c>
      <c r="L219" s="5" t="inlineStr">
        <is>
          <t>Apex Funding</t>
        </is>
      </c>
      <c r="M219" s="5" t="inlineStr">
        <is>
          <t>Summit Loan Servicing</t>
        </is>
      </c>
    </row>
    <row r="220">
      <c r="A220" s="7" t="inlineStr">
        <is>
          <t>L100215</t>
        </is>
      </c>
      <c r="B220" s="8" t="n">
        <v>344884.63</v>
      </c>
      <c r="C220" s="8" t="n">
        <v>329394.29</v>
      </c>
      <c r="D220" s="27" t="n">
        <v>6.768</v>
      </c>
      <c r="E220" s="10" t="n">
        <v>716</v>
      </c>
      <c r="F220" s="12" t="n">
        <v>90.59999999999999</v>
      </c>
      <c r="G220" s="12" t="n">
        <v>33.7</v>
      </c>
      <c r="H220" s="10" t="n">
        <v>46</v>
      </c>
      <c r="I220" s="10" t="n">
        <v>314</v>
      </c>
      <c r="J220" s="7" t="inlineStr">
        <is>
          <t>CA</t>
        </is>
      </c>
      <c r="K220" s="7" t="inlineStr">
        <is>
          <t>Condo</t>
        </is>
      </c>
      <c r="L220" s="7" t="inlineStr">
        <is>
          <t>Apex Funding</t>
        </is>
      </c>
      <c r="M220" s="7" t="inlineStr">
        <is>
          <t>Northgate Servicing</t>
        </is>
      </c>
    </row>
    <row r="221">
      <c r="A221" s="5" t="inlineStr">
        <is>
          <t>L100216</t>
        </is>
      </c>
      <c r="B221" s="16" t="n">
        <v>293120.89</v>
      </c>
      <c r="C221" s="16" t="n">
        <v>280014.19</v>
      </c>
      <c r="D221" s="26" t="n">
        <v>5.41</v>
      </c>
      <c r="E221" s="6" t="n">
        <v>716</v>
      </c>
      <c r="F221" s="11" t="n">
        <v>88.5</v>
      </c>
      <c r="G221" s="11" t="n">
        <v>35.9</v>
      </c>
      <c r="H221" s="6" t="n">
        <v>37</v>
      </c>
      <c r="I221" s="6" t="n">
        <v>323</v>
      </c>
      <c r="J221" s="5" t="inlineStr">
        <is>
          <t>TX</t>
        </is>
      </c>
      <c r="K221" s="5" t="inlineStr">
        <is>
          <t>Condo</t>
        </is>
      </c>
      <c r="L221" s="5" t="inlineStr">
        <is>
          <t>Meridian Home Loans</t>
        </is>
      </c>
      <c r="M221" s="5" t="inlineStr">
        <is>
          <t>Pier Asset Mgmt</t>
        </is>
      </c>
    </row>
    <row r="222">
      <c r="A222" s="7" t="inlineStr">
        <is>
          <t>L100217</t>
        </is>
      </c>
      <c r="B222" s="8" t="n">
        <v>387739.63</v>
      </c>
      <c r="C222" s="8" t="n">
        <v>387307.99</v>
      </c>
      <c r="D222" s="27" t="n">
        <v>5.41</v>
      </c>
      <c r="E222" s="10" t="n">
        <v>710</v>
      </c>
      <c r="F222" s="12" t="n">
        <v>79.7</v>
      </c>
      <c r="G222" s="12" t="n">
        <v>30.7</v>
      </c>
      <c r="H222" s="10" t="n">
        <v>1</v>
      </c>
      <c r="I222" s="10" t="n">
        <v>359</v>
      </c>
      <c r="J222" s="7" t="inlineStr">
        <is>
          <t>CA</t>
        </is>
      </c>
      <c r="K222" s="7" t="inlineStr">
        <is>
          <t>2-4 Unit</t>
        </is>
      </c>
      <c r="L222" s="7" t="inlineStr">
        <is>
          <t>Coastal Mortgage Co</t>
        </is>
      </c>
      <c r="M222" s="7" t="inlineStr">
        <is>
          <t>Summit Loan Servicing</t>
        </is>
      </c>
    </row>
    <row r="223">
      <c r="A223" s="5" t="inlineStr">
        <is>
          <t>L100218</t>
        </is>
      </c>
      <c r="B223" s="16" t="n">
        <v>230020.34</v>
      </c>
      <c r="C223" s="16" t="n">
        <v>220131.42</v>
      </c>
      <c r="D223" s="26" t="n">
        <v>7.153</v>
      </c>
      <c r="E223" s="6" t="n">
        <v>679</v>
      </c>
      <c r="F223" s="11" t="n">
        <v>94.59999999999999</v>
      </c>
      <c r="G223" s="11" t="n">
        <v>43.2</v>
      </c>
      <c r="H223" s="6" t="n">
        <v>47</v>
      </c>
      <c r="I223" s="6" t="n">
        <v>313</v>
      </c>
      <c r="J223" s="5" t="inlineStr">
        <is>
          <t>OH</t>
        </is>
      </c>
      <c r="K223" s="5" t="inlineStr">
        <is>
          <t>SFR</t>
        </is>
      </c>
      <c r="L223" s="5" t="inlineStr">
        <is>
          <t>Meridian Home Loans</t>
        </is>
      </c>
      <c r="M223" s="5" t="inlineStr">
        <is>
          <t>Summit Loan Servicing</t>
        </is>
      </c>
    </row>
    <row r="224">
      <c r="A224" s="7" t="inlineStr">
        <is>
          <t>L100219</t>
        </is>
      </c>
      <c r="B224" s="8" t="n">
        <v>190312</v>
      </c>
      <c r="C224" s="8" t="n">
        <v>159250.6</v>
      </c>
      <c r="D224" s="27" t="n">
        <v>6.873</v>
      </c>
      <c r="E224" s="10" t="n">
        <v>633</v>
      </c>
      <c r="F224" s="12" t="n">
        <v>69.40000000000001</v>
      </c>
      <c r="G224" s="12" t="n">
        <v>30.5</v>
      </c>
      <c r="H224" s="10" t="n">
        <v>45</v>
      </c>
      <c r="I224" s="10" t="n">
        <v>135</v>
      </c>
      <c r="J224" s="7" t="inlineStr">
        <is>
          <t>CA</t>
        </is>
      </c>
      <c r="K224" s="7" t="inlineStr">
        <is>
          <t>SFR</t>
        </is>
      </c>
      <c r="L224" s="7" t="inlineStr">
        <is>
          <t>Meridian Home Loans</t>
        </is>
      </c>
      <c r="M224" s="7" t="inlineStr">
        <is>
          <t>Northgate Servicing</t>
        </is>
      </c>
    </row>
    <row r="225">
      <c r="A225" s="5" t="inlineStr">
        <is>
          <t>L100220</t>
        </is>
      </c>
      <c r="B225" s="16" t="n">
        <v>224504.14</v>
      </c>
      <c r="C225" s="16" t="n">
        <v>223731.37</v>
      </c>
      <c r="D225" s="26" t="n">
        <v>5.272</v>
      </c>
      <c r="E225" s="6" t="n">
        <v>720</v>
      </c>
      <c r="F225" s="11" t="n">
        <v>93.5</v>
      </c>
      <c r="G225" s="11" t="n">
        <v>47.9</v>
      </c>
      <c r="H225" s="6" t="n">
        <v>3</v>
      </c>
      <c r="I225" s="6" t="n">
        <v>357</v>
      </c>
      <c r="J225" s="5" t="inlineStr">
        <is>
          <t>AZ</t>
        </is>
      </c>
      <c r="K225" s="5" t="inlineStr">
        <is>
          <t>Condo</t>
        </is>
      </c>
      <c r="L225" s="5" t="inlineStr">
        <is>
          <t>Coastal Mortgage Co</t>
        </is>
      </c>
      <c r="M225" s="5" t="inlineStr">
        <is>
          <t>Summit Loan Servicing</t>
        </is>
      </c>
    </row>
    <row r="226">
      <c r="A226" s="7" t="inlineStr">
        <is>
          <t>L100221</t>
        </is>
      </c>
      <c r="B226" s="8" t="n">
        <v>264308.93</v>
      </c>
      <c r="C226" s="8" t="n">
        <v>246020.15</v>
      </c>
      <c r="D226" s="27" t="n">
        <v>5.843</v>
      </c>
      <c r="E226" s="10" t="n">
        <v>673</v>
      </c>
      <c r="F226" s="12" t="n">
        <v>80.5</v>
      </c>
      <c r="G226" s="12" t="n">
        <v>33.5</v>
      </c>
      <c r="H226" s="10" t="n">
        <v>19</v>
      </c>
      <c r="I226" s="10" t="n">
        <v>161</v>
      </c>
      <c r="J226" s="7" t="inlineStr">
        <is>
          <t>TX</t>
        </is>
      </c>
      <c r="K226" s="7" t="inlineStr">
        <is>
          <t>SFR</t>
        </is>
      </c>
      <c r="L226" s="7" t="inlineStr">
        <is>
          <t>Apex Funding</t>
        </is>
      </c>
      <c r="M226" s="7" t="inlineStr">
        <is>
          <t>Summit Loan Servicing</t>
        </is>
      </c>
    </row>
    <row r="227">
      <c r="A227" s="5" t="inlineStr">
        <is>
          <t>L100222</t>
        </is>
      </c>
      <c r="B227" s="16" t="n">
        <v>258280.29</v>
      </c>
      <c r="C227" s="16" t="n">
        <v>244050.99</v>
      </c>
      <c r="D227" s="26" t="n">
        <v>5.587</v>
      </c>
      <c r="E227" s="6" t="n">
        <v>720</v>
      </c>
      <c r="F227" s="11" t="n">
        <v>97</v>
      </c>
      <c r="G227" s="11" t="n">
        <v>36.2</v>
      </c>
      <c r="H227" s="6" t="n">
        <v>46</v>
      </c>
      <c r="I227" s="6" t="n">
        <v>314</v>
      </c>
      <c r="J227" s="5" t="inlineStr">
        <is>
          <t>WA</t>
        </is>
      </c>
      <c r="K227" s="5" t="inlineStr">
        <is>
          <t>SFR</t>
        </is>
      </c>
      <c r="L227" s="5" t="inlineStr">
        <is>
          <t>Coastal Mortgage Co</t>
        </is>
      </c>
      <c r="M227" s="5" t="inlineStr">
        <is>
          <t>Pier Asset Mgmt</t>
        </is>
      </c>
    </row>
    <row r="228">
      <c r="A228" s="7" t="inlineStr">
        <is>
          <t>L100223</t>
        </is>
      </c>
      <c r="B228" s="8" t="n">
        <v>166119.75</v>
      </c>
      <c r="C228" s="8" t="n">
        <v>144194.93</v>
      </c>
      <c r="D228" s="27" t="n">
        <v>7.999</v>
      </c>
      <c r="E228" s="10" t="n">
        <v>671</v>
      </c>
      <c r="F228" s="12" t="n">
        <v>59.7</v>
      </c>
      <c r="G228" s="12" t="n">
        <v>42.1</v>
      </c>
      <c r="H228" s="10" t="n">
        <v>40</v>
      </c>
      <c r="I228" s="10" t="n">
        <v>140</v>
      </c>
      <c r="J228" s="7" t="inlineStr">
        <is>
          <t>OH</t>
        </is>
      </c>
      <c r="K228" s="7" t="inlineStr">
        <is>
          <t>SFR</t>
        </is>
      </c>
      <c r="L228" s="7" t="inlineStr">
        <is>
          <t>Meridian Home Loans</t>
        </is>
      </c>
      <c r="M228" s="7" t="inlineStr">
        <is>
          <t>Summit Loan Servicing</t>
        </is>
      </c>
    </row>
    <row r="229">
      <c r="A229" s="5" t="inlineStr">
        <is>
          <t>L100224</t>
        </is>
      </c>
      <c r="B229" s="16" t="n">
        <v>250614.56</v>
      </c>
      <c r="C229" s="16" t="n">
        <v>245774.15</v>
      </c>
      <c r="D229" s="26" t="n">
        <v>7.215</v>
      </c>
      <c r="E229" s="6" t="n">
        <v>655</v>
      </c>
      <c r="F229" s="11" t="n">
        <v>65.7</v>
      </c>
      <c r="G229" s="11" t="n">
        <v>36.2</v>
      </c>
      <c r="H229" s="6" t="n">
        <v>23</v>
      </c>
      <c r="I229" s="6" t="n">
        <v>337</v>
      </c>
      <c r="J229" s="5" t="inlineStr">
        <is>
          <t>NC</t>
        </is>
      </c>
      <c r="K229" s="5" t="inlineStr">
        <is>
          <t>SFR</t>
        </is>
      </c>
      <c r="L229" s="5" t="inlineStr">
        <is>
          <t>Meridian Home Loans</t>
        </is>
      </c>
      <c r="M229" s="5" t="inlineStr">
        <is>
          <t>Summit Loan Servicing</t>
        </is>
      </c>
    </row>
    <row r="230">
      <c r="A230" s="7" t="inlineStr">
        <is>
          <t>L100225</t>
        </is>
      </c>
      <c r="B230" s="8" t="n">
        <v>262992.27</v>
      </c>
      <c r="C230" s="8" t="n">
        <v>237989.23</v>
      </c>
      <c r="D230" s="27" t="n">
        <v>6.021</v>
      </c>
      <c r="E230" s="10" t="n">
        <v>728</v>
      </c>
      <c r="F230" s="12" t="n">
        <v>79</v>
      </c>
      <c r="G230" s="12" t="n">
        <v>33.6</v>
      </c>
      <c r="H230" s="10" t="n">
        <v>26</v>
      </c>
      <c r="I230" s="10" t="n">
        <v>154</v>
      </c>
      <c r="J230" s="7" t="inlineStr">
        <is>
          <t>OH</t>
        </is>
      </c>
      <c r="K230" s="7" t="inlineStr">
        <is>
          <t>SFR</t>
        </is>
      </c>
      <c r="L230" s="7" t="inlineStr">
        <is>
          <t>Coastal Mortgage Co</t>
        </is>
      </c>
      <c r="M230" s="7" t="inlineStr">
        <is>
          <t>Northgate Servicing</t>
        </is>
      </c>
    </row>
    <row r="231">
      <c r="A231" s="5" t="inlineStr">
        <is>
          <t>L100226</t>
        </is>
      </c>
      <c r="B231" s="16" t="n">
        <v>586023.9399999999</v>
      </c>
      <c r="C231" s="16" t="n">
        <v>585044.9399999999</v>
      </c>
      <c r="D231" s="26" t="n">
        <v>6.919</v>
      </c>
      <c r="E231" s="6" t="n">
        <v>723</v>
      </c>
      <c r="F231" s="11" t="n">
        <v>78.8</v>
      </c>
      <c r="G231" s="11" t="n">
        <v>35.8</v>
      </c>
      <c r="H231" s="6" t="n">
        <v>2</v>
      </c>
      <c r="I231" s="6" t="n">
        <v>358</v>
      </c>
      <c r="J231" s="5" t="inlineStr">
        <is>
          <t>FL</t>
        </is>
      </c>
      <c r="K231" s="5" t="inlineStr">
        <is>
          <t>Condo</t>
        </is>
      </c>
      <c r="L231" s="5" t="inlineStr">
        <is>
          <t>Coastal Mortgage Co</t>
        </is>
      </c>
      <c r="M231" s="5" t="inlineStr">
        <is>
          <t>Northgate Servicing</t>
        </is>
      </c>
    </row>
    <row r="232">
      <c r="A232" s="7" t="inlineStr">
        <is>
          <t>L100227</t>
        </is>
      </c>
      <c r="B232" s="8" t="n">
        <v>468314.62</v>
      </c>
      <c r="C232" s="8" t="n">
        <v>452762.78</v>
      </c>
      <c r="D232" s="27" t="n">
        <v>5.179</v>
      </c>
      <c r="E232" s="10" t="n">
        <v>747</v>
      </c>
      <c r="F232" s="12" t="n">
        <v>97</v>
      </c>
      <c r="G232" s="12" t="n">
        <v>43.2</v>
      </c>
      <c r="H232" s="10" t="n">
        <v>27</v>
      </c>
      <c r="I232" s="10" t="n">
        <v>333</v>
      </c>
      <c r="J232" s="7" t="inlineStr">
        <is>
          <t>AZ</t>
        </is>
      </c>
      <c r="K232" s="7" t="inlineStr">
        <is>
          <t>SFR</t>
        </is>
      </c>
      <c r="L232" s="7" t="inlineStr">
        <is>
          <t>Highline Capital</t>
        </is>
      </c>
      <c r="M232" s="7" t="inlineStr">
        <is>
          <t>Northgate Servicing</t>
        </is>
      </c>
    </row>
    <row r="233">
      <c r="A233" s="5" t="inlineStr">
        <is>
          <t>L100228</t>
        </is>
      </c>
      <c r="B233" s="16" t="n">
        <v>180117.52</v>
      </c>
      <c r="C233" s="16" t="n">
        <v>173682.04</v>
      </c>
      <c r="D233" s="26" t="n">
        <v>5.795</v>
      </c>
      <c r="E233" s="6" t="n">
        <v>820</v>
      </c>
      <c r="F233" s="11" t="n">
        <v>66</v>
      </c>
      <c r="G233" s="11" t="n">
        <v>30.7</v>
      </c>
      <c r="H233" s="6" t="n">
        <v>32</v>
      </c>
      <c r="I233" s="6" t="n">
        <v>328</v>
      </c>
      <c r="J233" s="5" t="inlineStr">
        <is>
          <t>FL</t>
        </is>
      </c>
      <c r="K233" s="5" t="inlineStr">
        <is>
          <t>Condo</t>
        </is>
      </c>
      <c r="L233" s="5" t="inlineStr">
        <is>
          <t>Apex Funding</t>
        </is>
      </c>
      <c r="M233" s="5" t="inlineStr">
        <is>
          <t>Northgate Servicing</t>
        </is>
      </c>
    </row>
    <row r="234">
      <c r="A234" s="7" t="inlineStr">
        <is>
          <t>L100229</t>
        </is>
      </c>
      <c r="B234" s="8" t="n">
        <v>219567.68</v>
      </c>
      <c r="C234" s="8" t="n">
        <v>216039.09</v>
      </c>
      <c r="D234" s="27" t="n">
        <v>6.494</v>
      </c>
      <c r="E234" s="10" t="n">
        <v>730</v>
      </c>
      <c r="F234" s="12" t="n">
        <v>84.90000000000001</v>
      </c>
      <c r="G234" s="12" t="n">
        <v>35</v>
      </c>
      <c r="H234" s="10" t="n">
        <v>17</v>
      </c>
      <c r="I234" s="10" t="n">
        <v>343</v>
      </c>
      <c r="J234" s="7" t="inlineStr">
        <is>
          <t>NC</t>
        </is>
      </c>
      <c r="K234" s="7" t="inlineStr">
        <is>
          <t>SFR</t>
        </is>
      </c>
      <c r="L234" s="7" t="inlineStr">
        <is>
          <t>Highline Capital</t>
        </is>
      </c>
      <c r="M234" s="7" t="inlineStr">
        <is>
          <t>Summit Loan Servicing</t>
        </is>
      </c>
    </row>
    <row r="235">
      <c r="A235" s="5" t="inlineStr">
        <is>
          <t>L100230</t>
        </is>
      </c>
      <c r="B235" s="16" t="n">
        <v>145480.2</v>
      </c>
      <c r="C235" s="16" t="n">
        <v>143546.62</v>
      </c>
      <c r="D235" s="26" t="n">
        <v>6.807</v>
      </c>
      <c r="E235" s="6" t="n">
        <v>742</v>
      </c>
      <c r="F235" s="11" t="n">
        <v>87.90000000000001</v>
      </c>
      <c r="G235" s="11" t="n">
        <v>36.1</v>
      </c>
      <c r="H235" s="6" t="n">
        <v>15</v>
      </c>
      <c r="I235" s="6" t="n">
        <v>345</v>
      </c>
      <c r="J235" s="5" t="inlineStr">
        <is>
          <t>WA</t>
        </is>
      </c>
      <c r="K235" s="5" t="inlineStr">
        <is>
          <t>Condo</t>
        </is>
      </c>
      <c r="L235" s="5" t="inlineStr">
        <is>
          <t>Meridian Home Loans</t>
        </is>
      </c>
      <c r="M235" s="5" t="inlineStr">
        <is>
          <t>Pier Asset Mgmt</t>
        </is>
      </c>
    </row>
    <row r="236">
      <c r="A236" s="7" t="inlineStr">
        <is>
          <t>L100231</t>
        </is>
      </c>
      <c r="B236" s="8" t="n">
        <v>197452.35</v>
      </c>
      <c r="C236" s="8" t="n">
        <v>189461.94</v>
      </c>
      <c r="D236" s="27" t="n">
        <v>6.312</v>
      </c>
      <c r="E236" s="10" t="n">
        <v>656</v>
      </c>
      <c r="F236" s="12" t="n">
        <v>82.5</v>
      </c>
      <c r="G236" s="12" t="n">
        <v>42.9</v>
      </c>
      <c r="H236" s="10" t="n">
        <v>39</v>
      </c>
      <c r="I236" s="10" t="n">
        <v>321</v>
      </c>
      <c r="J236" s="7" t="inlineStr">
        <is>
          <t>AZ</t>
        </is>
      </c>
      <c r="K236" s="7" t="inlineStr">
        <is>
          <t>Condo</t>
        </is>
      </c>
      <c r="L236" s="7" t="inlineStr">
        <is>
          <t>Coastal Mortgage Co</t>
        </is>
      </c>
      <c r="M236" s="7" t="inlineStr">
        <is>
          <t>Summit Loan Servicing</t>
        </is>
      </c>
    </row>
    <row r="237">
      <c r="A237" s="5" t="inlineStr">
        <is>
          <t>L100232</t>
        </is>
      </c>
      <c r="B237" s="16" t="n">
        <v>271159.3</v>
      </c>
      <c r="C237" s="16" t="n">
        <v>265577.37</v>
      </c>
      <c r="D237" s="26" t="n">
        <v>6.623</v>
      </c>
      <c r="E237" s="6" t="n">
        <v>644</v>
      </c>
      <c r="F237" s="11" t="n">
        <v>62.5</v>
      </c>
      <c r="G237" s="11" t="n">
        <v>35.2</v>
      </c>
      <c r="H237" s="6" t="n">
        <v>22</v>
      </c>
      <c r="I237" s="6" t="n">
        <v>338</v>
      </c>
      <c r="J237" s="5" t="inlineStr">
        <is>
          <t>FL</t>
        </is>
      </c>
      <c r="K237" s="5" t="inlineStr">
        <is>
          <t>SFR</t>
        </is>
      </c>
      <c r="L237" s="5" t="inlineStr">
        <is>
          <t>Meridian Home Loans</t>
        </is>
      </c>
      <c r="M237" s="5" t="inlineStr">
        <is>
          <t>Northgate Servicing</t>
        </is>
      </c>
    </row>
    <row r="238">
      <c r="A238" s="7" t="inlineStr">
        <is>
          <t>L100233</t>
        </is>
      </c>
      <c r="B238" s="8" t="n">
        <v>370292.59</v>
      </c>
      <c r="C238" s="8" t="n">
        <v>365771.83</v>
      </c>
      <c r="D238" s="27" t="n">
        <v>6.471</v>
      </c>
      <c r="E238" s="10" t="n">
        <v>802</v>
      </c>
      <c r="F238" s="12" t="n">
        <v>90.90000000000001</v>
      </c>
      <c r="G238" s="12" t="n">
        <v>50.5</v>
      </c>
      <c r="H238" s="10" t="n">
        <v>13</v>
      </c>
      <c r="I238" s="10" t="n">
        <v>347</v>
      </c>
      <c r="J238" s="7" t="inlineStr">
        <is>
          <t>AZ</t>
        </is>
      </c>
      <c r="K238" s="7" t="inlineStr">
        <is>
          <t>SFR</t>
        </is>
      </c>
      <c r="L238" s="7" t="inlineStr">
        <is>
          <t>Meridian Home Loans</t>
        </is>
      </c>
      <c r="M238" s="7" t="inlineStr">
        <is>
          <t>Summit Loan Servicing</t>
        </is>
      </c>
    </row>
    <row r="239">
      <c r="A239" s="5" t="inlineStr">
        <is>
          <t>L100234</t>
        </is>
      </c>
      <c r="B239" s="16" t="n">
        <v>188117.24</v>
      </c>
      <c r="C239" s="16" t="n">
        <v>184759.97</v>
      </c>
      <c r="D239" s="26" t="n">
        <v>6.253</v>
      </c>
      <c r="E239" s="6" t="n">
        <v>664</v>
      </c>
      <c r="F239" s="11" t="n">
        <v>88.8</v>
      </c>
      <c r="G239" s="11" t="n">
        <v>34.7</v>
      </c>
      <c r="H239" s="6" t="n">
        <v>18</v>
      </c>
      <c r="I239" s="6" t="n">
        <v>342</v>
      </c>
      <c r="J239" s="5" t="inlineStr">
        <is>
          <t>OH</t>
        </is>
      </c>
      <c r="K239" s="5" t="inlineStr">
        <is>
          <t>SFR</t>
        </is>
      </c>
      <c r="L239" s="5" t="inlineStr">
        <is>
          <t>Highline Capital</t>
        </is>
      </c>
      <c r="M239" s="5" t="inlineStr">
        <is>
          <t>Northgate Servicing</t>
        </is>
      </c>
    </row>
    <row r="240">
      <c r="A240" s="7" t="inlineStr">
        <is>
          <t>L100235</t>
        </is>
      </c>
      <c r="B240" s="8" t="n">
        <v>193116.47</v>
      </c>
      <c r="C240" s="8" t="n">
        <v>188344.11</v>
      </c>
      <c r="D240" s="27" t="n">
        <v>6.133</v>
      </c>
      <c r="E240" s="10" t="n">
        <v>658</v>
      </c>
      <c r="F240" s="12" t="n">
        <v>81.2</v>
      </c>
      <c r="G240" s="12" t="n">
        <v>34.1</v>
      </c>
      <c r="H240" s="10" t="n">
        <v>24</v>
      </c>
      <c r="I240" s="10" t="n">
        <v>336</v>
      </c>
      <c r="J240" s="7" t="inlineStr">
        <is>
          <t>OH</t>
        </is>
      </c>
      <c r="K240" s="7" t="inlineStr">
        <is>
          <t>Multifamily</t>
        </is>
      </c>
      <c r="L240" s="7" t="inlineStr">
        <is>
          <t>Coastal Mortgage Co</t>
        </is>
      </c>
      <c r="M240" s="7" t="inlineStr">
        <is>
          <t>Northgate Servicing</t>
        </is>
      </c>
    </row>
    <row r="241">
      <c r="A241" s="5" t="inlineStr">
        <is>
          <t>L100236</t>
        </is>
      </c>
      <c r="B241" s="16" t="n">
        <v>114513.6</v>
      </c>
      <c r="C241" s="16" t="n">
        <v>112990.87</v>
      </c>
      <c r="D241" s="26" t="n">
        <v>6.016</v>
      </c>
      <c r="E241" s="6" t="n">
        <v>713</v>
      </c>
      <c r="F241" s="11" t="n">
        <v>76.5</v>
      </c>
      <c r="G241" s="11" t="n">
        <v>34.6</v>
      </c>
      <c r="H241" s="6" t="n">
        <v>13</v>
      </c>
      <c r="I241" s="6" t="n">
        <v>347</v>
      </c>
      <c r="J241" s="5" t="inlineStr">
        <is>
          <t>AZ</t>
        </is>
      </c>
      <c r="K241" s="5" t="inlineStr">
        <is>
          <t>SFR</t>
        </is>
      </c>
      <c r="L241" s="5" t="inlineStr">
        <is>
          <t>Apex Funding</t>
        </is>
      </c>
      <c r="M241" s="5" t="inlineStr">
        <is>
          <t>Northgate Servicing</t>
        </is>
      </c>
    </row>
    <row r="242">
      <c r="A242" s="7" t="inlineStr">
        <is>
          <t>L100237</t>
        </is>
      </c>
      <c r="B242" s="8" t="n">
        <v>229364.32</v>
      </c>
      <c r="C242" s="8" t="n">
        <v>223472.41</v>
      </c>
      <c r="D242" s="27" t="n">
        <v>6.609</v>
      </c>
      <c r="E242" s="10" t="n">
        <v>710</v>
      </c>
      <c r="F242" s="12" t="n">
        <v>76.7</v>
      </c>
      <c r="G242" s="12" t="n">
        <v>25.5</v>
      </c>
      <c r="H242" s="10" t="n">
        <v>27</v>
      </c>
      <c r="I242" s="10" t="n">
        <v>333</v>
      </c>
      <c r="J242" s="7" t="inlineStr">
        <is>
          <t>AZ</t>
        </is>
      </c>
      <c r="K242" s="7" t="inlineStr">
        <is>
          <t>SFR</t>
        </is>
      </c>
      <c r="L242" s="7" t="inlineStr">
        <is>
          <t>Coastal Mortgage Co</t>
        </is>
      </c>
      <c r="M242" s="7" t="inlineStr">
        <is>
          <t>Northgate Servicing</t>
        </is>
      </c>
    </row>
    <row r="243">
      <c r="A243" s="5" t="inlineStr">
        <is>
          <t>L100238</t>
        </is>
      </c>
      <c r="B243" s="16" t="n">
        <v>167402.26</v>
      </c>
      <c r="C243" s="16" t="n">
        <v>142626.43</v>
      </c>
      <c r="D243" s="26" t="n">
        <v>6.77</v>
      </c>
      <c r="E243" s="6" t="n">
        <v>665</v>
      </c>
      <c r="F243" s="11" t="n">
        <v>73.09999999999999</v>
      </c>
      <c r="G243" s="11" t="n">
        <v>27.7</v>
      </c>
      <c r="H243" s="6" t="n">
        <v>41</v>
      </c>
      <c r="I243" s="6" t="n">
        <v>139</v>
      </c>
      <c r="J243" s="5" t="inlineStr">
        <is>
          <t>AZ</t>
        </is>
      </c>
      <c r="K243" s="5" t="inlineStr">
        <is>
          <t>SFR</t>
        </is>
      </c>
      <c r="L243" s="5" t="inlineStr">
        <is>
          <t>Meridian Home Loans</t>
        </is>
      </c>
      <c r="M243" s="5" t="inlineStr">
        <is>
          <t>Summit Loan Servicing</t>
        </is>
      </c>
    </row>
    <row r="244">
      <c r="A244" s="7" t="inlineStr">
        <is>
          <t>L100239</t>
        </is>
      </c>
      <c r="B244" s="8" t="n">
        <v>201732.17</v>
      </c>
      <c r="C244" s="8" t="n">
        <v>176340.38</v>
      </c>
      <c r="D244" s="27" t="n">
        <v>6.579</v>
      </c>
      <c r="E244" s="10" t="n">
        <v>698</v>
      </c>
      <c r="F244" s="12" t="n">
        <v>81.7</v>
      </c>
      <c r="G244" s="12" t="n">
        <v>31.8</v>
      </c>
      <c r="H244" s="10" t="n">
        <v>35</v>
      </c>
      <c r="I244" s="10" t="n">
        <v>145</v>
      </c>
      <c r="J244" s="7" t="inlineStr">
        <is>
          <t>AZ</t>
        </is>
      </c>
      <c r="K244" s="7" t="inlineStr">
        <is>
          <t>SFR</t>
        </is>
      </c>
      <c r="L244" s="7" t="inlineStr">
        <is>
          <t>Highline Capital</t>
        </is>
      </c>
      <c r="M244" s="7" t="inlineStr">
        <is>
          <t>Summit Loan Servicing</t>
        </is>
      </c>
    </row>
    <row r="245">
      <c r="A245" s="5" t="inlineStr">
        <is>
          <t>L100240</t>
        </is>
      </c>
      <c r="B245" s="16" t="n">
        <v>178634.79</v>
      </c>
      <c r="C245" s="16" t="n">
        <v>171328.06</v>
      </c>
      <c r="D245" s="26" t="n">
        <v>5.339</v>
      </c>
      <c r="E245" s="6" t="n">
        <v>783</v>
      </c>
      <c r="F245" s="11" t="n">
        <v>74.40000000000001</v>
      </c>
      <c r="G245" s="11" t="n">
        <v>45.1</v>
      </c>
      <c r="H245" s="6" t="n">
        <v>11</v>
      </c>
      <c r="I245" s="6" t="n">
        <v>169</v>
      </c>
      <c r="J245" s="5" t="inlineStr">
        <is>
          <t>TX</t>
        </is>
      </c>
      <c r="K245" s="5" t="inlineStr">
        <is>
          <t>SFR</t>
        </is>
      </c>
      <c r="L245" s="5" t="inlineStr">
        <is>
          <t>Apex Funding</t>
        </is>
      </c>
      <c r="M245" s="5" t="inlineStr">
        <is>
          <t>Pier Asset Mgmt</t>
        </is>
      </c>
    </row>
    <row r="246">
      <c r="A246" s="7" t="inlineStr">
        <is>
          <t>L100241</t>
        </is>
      </c>
      <c r="B246" s="8" t="n">
        <v>234921.83</v>
      </c>
      <c r="C246" s="8" t="n">
        <v>214530.01</v>
      </c>
      <c r="D246" s="27" t="n">
        <v>5.501</v>
      </c>
      <c r="E246" s="10" t="n">
        <v>671</v>
      </c>
      <c r="F246" s="12" t="n">
        <v>63.8</v>
      </c>
      <c r="G246" s="12" t="n">
        <v>35.7</v>
      </c>
      <c r="H246" s="10" t="n">
        <v>23</v>
      </c>
      <c r="I246" s="10" t="n">
        <v>157</v>
      </c>
      <c r="J246" s="7" t="inlineStr">
        <is>
          <t>OH</t>
        </is>
      </c>
      <c r="K246" s="7" t="inlineStr">
        <is>
          <t>Condo</t>
        </is>
      </c>
      <c r="L246" s="7" t="inlineStr">
        <is>
          <t>Apex Funding</t>
        </is>
      </c>
      <c r="M246" s="7" t="inlineStr">
        <is>
          <t>Northgate Servicing</t>
        </is>
      </c>
    </row>
    <row r="247">
      <c r="A247" s="5" t="inlineStr">
        <is>
          <t>L100242</t>
        </is>
      </c>
      <c r="B247" s="16" t="n">
        <v>131241.58</v>
      </c>
      <c r="C247" s="16" t="n">
        <v>128092.75</v>
      </c>
      <c r="D247" s="26" t="n">
        <v>6.759</v>
      </c>
      <c r="E247" s="6" t="n">
        <v>638</v>
      </c>
      <c r="F247" s="11" t="n">
        <v>61.4</v>
      </c>
      <c r="G247" s="11" t="n">
        <v>32.1</v>
      </c>
      <c r="H247" s="6" t="n">
        <v>26</v>
      </c>
      <c r="I247" s="6" t="n">
        <v>334</v>
      </c>
      <c r="J247" s="5" t="inlineStr">
        <is>
          <t>TX</t>
        </is>
      </c>
      <c r="K247" s="5" t="inlineStr">
        <is>
          <t>SFR</t>
        </is>
      </c>
      <c r="L247" s="5" t="inlineStr">
        <is>
          <t>Apex Funding</t>
        </is>
      </c>
      <c r="M247" s="5" t="inlineStr">
        <is>
          <t>Northgate Servicing</t>
        </is>
      </c>
    </row>
    <row r="248">
      <c r="A248" s="7" t="inlineStr">
        <is>
          <t>L100243</t>
        </is>
      </c>
      <c r="B248" s="8" t="n">
        <v>145296.85</v>
      </c>
      <c r="C248" s="8" t="n">
        <v>141647.4</v>
      </c>
      <c r="D248" s="27" t="n">
        <v>7.725</v>
      </c>
      <c r="E248" s="10" t="n">
        <v>767</v>
      </c>
      <c r="F248" s="12" t="n">
        <v>65</v>
      </c>
      <c r="G248" s="12" t="n">
        <v>45.8</v>
      </c>
      <c r="H248" s="10" t="n">
        <v>32</v>
      </c>
      <c r="I248" s="10" t="n">
        <v>328</v>
      </c>
      <c r="J248" s="7" t="inlineStr">
        <is>
          <t>GA</t>
        </is>
      </c>
      <c r="K248" s="7" t="inlineStr">
        <is>
          <t>2-4 Unit</t>
        </is>
      </c>
      <c r="L248" s="7" t="inlineStr">
        <is>
          <t>Coastal Mortgage Co</t>
        </is>
      </c>
      <c r="M248" s="7" t="inlineStr">
        <is>
          <t>Pier Asset Mgmt</t>
        </is>
      </c>
    </row>
    <row r="249">
      <c r="A249" s="5" t="inlineStr">
        <is>
          <t>L100244</t>
        </is>
      </c>
      <c r="B249" s="16" t="n">
        <v>511568.35</v>
      </c>
      <c r="C249" s="16" t="n">
        <v>493361.39</v>
      </c>
      <c r="D249" s="26" t="n">
        <v>6.537</v>
      </c>
      <c r="E249" s="6" t="n">
        <v>742</v>
      </c>
      <c r="F249" s="11" t="n">
        <v>76.7</v>
      </c>
      <c r="G249" s="11" t="n">
        <v>48.4</v>
      </c>
      <c r="H249" s="6" t="n">
        <v>36</v>
      </c>
      <c r="I249" s="6" t="n">
        <v>324</v>
      </c>
      <c r="J249" s="5" t="inlineStr">
        <is>
          <t>NY</t>
        </is>
      </c>
      <c r="K249" s="5" t="inlineStr">
        <is>
          <t>SFR</t>
        </is>
      </c>
      <c r="L249" s="5" t="inlineStr">
        <is>
          <t>Coastal Mortgage Co</t>
        </is>
      </c>
      <c r="M249" s="5" t="inlineStr">
        <is>
          <t>Pier Asset Mgmt</t>
        </is>
      </c>
    </row>
    <row r="250">
      <c r="A250" s="7" t="inlineStr">
        <is>
          <t>L100245</t>
        </is>
      </c>
      <c r="B250" s="8" t="n">
        <v>154724.61</v>
      </c>
      <c r="C250" s="8" t="n">
        <v>150999.82</v>
      </c>
      <c r="D250" s="27" t="n">
        <v>6.029</v>
      </c>
      <c r="E250" s="10" t="n">
        <v>681</v>
      </c>
      <c r="F250" s="12" t="n">
        <v>73.7</v>
      </c>
      <c r="G250" s="12" t="n">
        <v>46</v>
      </c>
      <c r="H250" s="10" t="n">
        <v>23</v>
      </c>
      <c r="I250" s="10" t="n">
        <v>337</v>
      </c>
      <c r="J250" s="7" t="inlineStr">
        <is>
          <t>FL</t>
        </is>
      </c>
      <c r="K250" s="7" t="inlineStr">
        <is>
          <t>SFR</t>
        </is>
      </c>
      <c r="L250" s="7" t="inlineStr">
        <is>
          <t>Highline Capital</t>
        </is>
      </c>
      <c r="M250" s="7" t="inlineStr">
        <is>
          <t>Northgate Servicing</t>
        </is>
      </c>
    </row>
    <row r="251">
      <c r="A251" s="5" t="inlineStr">
        <is>
          <t>L100246</t>
        </is>
      </c>
      <c r="B251" s="16" t="n">
        <v>165400.49</v>
      </c>
      <c r="C251" s="16" t="n">
        <v>163114.99</v>
      </c>
      <c r="D251" s="26" t="n">
        <v>6.602</v>
      </c>
      <c r="E251" s="6" t="n">
        <v>628</v>
      </c>
      <c r="F251" s="11" t="n">
        <v>76.59999999999999</v>
      </c>
      <c r="G251" s="11" t="n">
        <v>29.2</v>
      </c>
      <c r="H251" s="6" t="n">
        <v>15</v>
      </c>
      <c r="I251" s="6" t="n">
        <v>345</v>
      </c>
      <c r="J251" s="5" t="inlineStr">
        <is>
          <t>FL</t>
        </is>
      </c>
      <c r="K251" s="5" t="inlineStr">
        <is>
          <t>Condo</t>
        </is>
      </c>
      <c r="L251" s="5" t="inlineStr">
        <is>
          <t>Meridian Home Loans</t>
        </is>
      </c>
      <c r="M251" s="5" t="inlineStr">
        <is>
          <t>Pier Asset Mgmt</t>
        </is>
      </c>
    </row>
    <row r="252">
      <c r="A252" s="7" t="inlineStr">
        <is>
          <t>L100247</t>
        </is>
      </c>
      <c r="B252" s="8" t="n">
        <v>461815.04</v>
      </c>
      <c r="C252" s="8" t="n">
        <v>444653.01</v>
      </c>
      <c r="D252" s="27" t="n">
        <v>5.377</v>
      </c>
      <c r="E252" s="10" t="n">
        <v>674</v>
      </c>
      <c r="F252" s="12" t="n">
        <v>80</v>
      </c>
      <c r="G252" s="12" t="n">
        <v>32</v>
      </c>
      <c r="H252" s="10" t="n">
        <v>31</v>
      </c>
      <c r="I252" s="10" t="n">
        <v>329</v>
      </c>
      <c r="J252" s="7" t="inlineStr">
        <is>
          <t>CA</t>
        </is>
      </c>
      <c r="K252" s="7" t="inlineStr">
        <is>
          <t>Condo</t>
        </is>
      </c>
      <c r="L252" s="7" t="inlineStr">
        <is>
          <t>Coastal Mortgage Co</t>
        </is>
      </c>
      <c r="M252" s="7" t="inlineStr">
        <is>
          <t>Northgate Servicing</t>
        </is>
      </c>
    </row>
    <row r="253">
      <c r="A253" s="5" t="inlineStr">
        <is>
          <t>L100248</t>
        </is>
      </c>
      <c r="B253" s="16" t="n">
        <v>671167.16</v>
      </c>
      <c r="C253" s="16" t="n">
        <v>658895.84</v>
      </c>
      <c r="D253" s="26" t="n">
        <v>7.578</v>
      </c>
      <c r="E253" s="6" t="n">
        <v>712</v>
      </c>
      <c r="F253" s="11" t="n">
        <v>66.5</v>
      </c>
      <c r="G253" s="11" t="n">
        <v>50.5</v>
      </c>
      <c r="H253" s="6" t="n">
        <v>6</v>
      </c>
      <c r="I253" s="6" t="n">
        <v>174</v>
      </c>
      <c r="J253" s="5" t="inlineStr">
        <is>
          <t>IL</t>
        </is>
      </c>
      <c r="K253" s="5" t="inlineStr">
        <is>
          <t>2-4 Unit</t>
        </is>
      </c>
      <c r="L253" s="5" t="inlineStr">
        <is>
          <t>Coastal Mortgage Co</t>
        </is>
      </c>
      <c r="M253" s="5" t="inlineStr">
        <is>
          <t>Summit Loan Servicing</t>
        </is>
      </c>
    </row>
    <row r="254">
      <c r="A254" s="7" t="inlineStr">
        <is>
          <t>L100249</t>
        </is>
      </c>
      <c r="B254" s="8" t="n">
        <v>161127.57</v>
      </c>
      <c r="C254" s="8" t="n">
        <v>156115.18</v>
      </c>
      <c r="D254" s="27" t="n">
        <v>6.568</v>
      </c>
      <c r="E254" s="10" t="n">
        <v>779</v>
      </c>
      <c r="F254" s="12" t="n">
        <v>91.59999999999999</v>
      </c>
      <c r="G254" s="12" t="n">
        <v>37.9</v>
      </c>
      <c r="H254" s="10" t="n">
        <v>32</v>
      </c>
      <c r="I254" s="10" t="n">
        <v>328</v>
      </c>
      <c r="J254" s="7" t="inlineStr">
        <is>
          <t>IL</t>
        </is>
      </c>
      <c r="K254" s="7" t="inlineStr">
        <is>
          <t>SFR</t>
        </is>
      </c>
      <c r="L254" s="7" t="inlineStr">
        <is>
          <t>Apex Funding</t>
        </is>
      </c>
      <c r="M254" s="7" t="inlineStr">
        <is>
          <t>Northgate Servicing</t>
        </is>
      </c>
    </row>
    <row r="255">
      <c r="A255" s="5" t="inlineStr">
        <is>
          <t>L100250</t>
        </is>
      </c>
      <c r="B255" s="16" t="n">
        <v>213440.39</v>
      </c>
      <c r="C255" s="16" t="n">
        <v>202912.91</v>
      </c>
      <c r="D255" s="26" t="n">
        <v>5.797</v>
      </c>
      <c r="E255" s="6" t="n">
        <v>658</v>
      </c>
      <c r="F255" s="11" t="n">
        <v>70.8</v>
      </c>
      <c r="G255" s="11" t="n">
        <v>33.9</v>
      </c>
      <c r="H255" s="6" t="n">
        <v>43</v>
      </c>
      <c r="I255" s="6" t="n">
        <v>317</v>
      </c>
      <c r="J255" s="5" t="inlineStr">
        <is>
          <t>IL</t>
        </is>
      </c>
      <c r="K255" s="5" t="inlineStr">
        <is>
          <t>SFR</t>
        </is>
      </c>
      <c r="L255" s="5" t="inlineStr">
        <is>
          <t>Highline Capital</t>
        </is>
      </c>
      <c r="M255" s="5" t="inlineStr">
        <is>
          <t>Pier Asset Mgmt</t>
        </is>
      </c>
    </row>
    <row r="256">
      <c r="A256" s="7" t="inlineStr">
        <is>
          <t>L100251</t>
        </is>
      </c>
      <c r="B256" s="8" t="n">
        <v>273633.38</v>
      </c>
      <c r="C256" s="8" t="n">
        <v>264003.3</v>
      </c>
      <c r="D256" s="27" t="n">
        <v>6.25</v>
      </c>
      <c r="E256" s="10" t="n">
        <v>710</v>
      </c>
      <c r="F256" s="12" t="n">
        <v>68.8</v>
      </c>
      <c r="G256" s="12" t="n">
        <v>41.7</v>
      </c>
      <c r="H256" s="10" t="n">
        <v>34</v>
      </c>
      <c r="I256" s="10" t="n">
        <v>326</v>
      </c>
      <c r="J256" s="7" t="inlineStr">
        <is>
          <t>CA</t>
        </is>
      </c>
      <c r="K256" s="7" t="inlineStr">
        <is>
          <t>Condo</t>
        </is>
      </c>
      <c r="L256" s="7" t="inlineStr">
        <is>
          <t>Highline Capital</t>
        </is>
      </c>
      <c r="M256" s="7" t="inlineStr">
        <is>
          <t>Pier Asset Mgmt</t>
        </is>
      </c>
    </row>
    <row r="257">
      <c r="A257" s="5" t="inlineStr">
        <is>
          <t>L100252</t>
        </is>
      </c>
      <c r="B257" s="16" t="n">
        <v>444650.64</v>
      </c>
      <c r="C257" s="16" t="n">
        <v>434742.12</v>
      </c>
      <c r="D257" s="26" t="n">
        <v>5.926</v>
      </c>
      <c r="E257" s="6" t="n">
        <v>752</v>
      </c>
      <c r="F257" s="11" t="n">
        <v>79.8</v>
      </c>
      <c r="G257" s="11" t="n">
        <v>44.1</v>
      </c>
      <c r="H257" s="6" t="n">
        <v>21</v>
      </c>
      <c r="I257" s="6" t="n">
        <v>339</v>
      </c>
      <c r="J257" s="5" t="inlineStr">
        <is>
          <t>NC</t>
        </is>
      </c>
      <c r="K257" s="5" t="inlineStr">
        <is>
          <t>SFR</t>
        </is>
      </c>
      <c r="L257" s="5" t="inlineStr">
        <is>
          <t>Apex Funding</t>
        </is>
      </c>
      <c r="M257" s="5" t="inlineStr">
        <is>
          <t>Northgate Servicing</t>
        </is>
      </c>
    </row>
    <row r="258">
      <c r="A258" s="7" t="inlineStr">
        <is>
          <t>L100253</t>
        </is>
      </c>
      <c r="B258" s="8" t="n">
        <v>171888.28</v>
      </c>
      <c r="C258" s="8" t="n">
        <v>166357.27</v>
      </c>
      <c r="D258" s="27" t="n">
        <v>7.581</v>
      </c>
      <c r="E258" s="10" t="n">
        <v>584</v>
      </c>
      <c r="F258" s="12" t="n">
        <v>52</v>
      </c>
      <c r="G258" s="12" t="n">
        <v>31.4</v>
      </c>
      <c r="H258" s="10" t="n">
        <v>39</v>
      </c>
      <c r="I258" s="10" t="n">
        <v>321</v>
      </c>
      <c r="J258" s="7" t="inlineStr">
        <is>
          <t>TX</t>
        </is>
      </c>
      <c r="K258" s="7" t="inlineStr">
        <is>
          <t>2-4 Unit</t>
        </is>
      </c>
      <c r="L258" s="7" t="inlineStr">
        <is>
          <t>Meridian Home Loans</t>
        </is>
      </c>
      <c r="M258" s="7" t="inlineStr">
        <is>
          <t>Pier Asset Mgmt</t>
        </is>
      </c>
    </row>
    <row r="259">
      <c r="A259" s="5" t="inlineStr">
        <is>
          <t>L100254</t>
        </is>
      </c>
      <c r="B259" s="16" t="n">
        <v>222827.4</v>
      </c>
      <c r="C259" s="16" t="n">
        <v>216922.73</v>
      </c>
      <c r="D259" s="26" t="n">
        <v>6.218</v>
      </c>
      <c r="E259" s="6" t="n">
        <v>772</v>
      </c>
      <c r="F259" s="11" t="n">
        <v>64.5</v>
      </c>
      <c r="G259" s="11" t="n">
        <v>37.8</v>
      </c>
      <c r="H259" s="6" t="n">
        <v>26</v>
      </c>
      <c r="I259" s="6" t="n">
        <v>334</v>
      </c>
      <c r="J259" s="5" t="inlineStr">
        <is>
          <t>OH</t>
        </is>
      </c>
      <c r="K259" s="5" t="inlineStr">
        <is>
          <t>SFR</t>
        </is>
      </c>
      <c r="L259" s="5" t="inlineStr">
        <is>
          <t>Highline Capital</t>
        </is>
      </c>
      <c r="M259" s="5" t="inlineStr">
        <is>
          <t>Summit Loan Servicing</t>
        </is>
      </c>
    </row>
    <row r="260">
      <c r="A260" s="7" t="inlineStr">
        <is>
          <t>L100255</t>
        </is>
      </c>
      <c r="B260" s="8" t="n">
        <v>318719.97</v>
      </c>
      <c r="C260" s="8" t="n">
        <v>310757.53</v>
      </c>
      <c r="D260" s="27" t="n">
        <v>6.54</v>
      </c>
      <c r="E260" s="10" t="n">
        <v>650</v>
      </c>
      <c r="F260" s="12" t="n">
        <v>85.8</v>
      </c>
      <c r="G260" s="12" t="n">
        <v>43.4</v>
      </c>
      <c r="H260" s="10" t="n">
        <v>26</v>
      </c>
      <c r="I260" s="10" t="n">
        <v>334</v>
      </c>
      <c r="J260" s="7" t="inlineStr">
        <is>
          <t>CA</t>
        </is>
      </c>
      <c r="K260" s="7" t="inlineStr">
        <is>
          <t>SFR</t>
        </is>
      </c>
      <c r="L260" s="7" t="inlineStr">
        <is>
          <t>Coastal Mortgage Co</t>
        </is>
      </c>
      <c r="M260" s="7" t="inlineStr">
        <is>
          <t>Summit Loan Servicing</t>
        </is>
      </c>
    </row>
    <row r="261">
      <c r="A261" s="5" t="inlineStr">
        <is>
          <t>L100256</t>
        </is>
      </c>
      <c r="B261" s="16" t="n">
        <v>282707.51</v>
      </c>
      <c r="C261" s="16" t="n">
        <v>241288.31</v>
      </c>
      <c r="D261" s="26" t="n">
        <v>6.916</v>
      </c>
      <c r="E261" s="6" t="n">
        <v>733</v>
      </c>
      <c r="F261" s="11" t="n">
        <v>53.2</v>
      </c>
      <c r="G261" s="11" t="n">
        <v>26.7</v>
      </c>
      <c r="H261" s="6" t="n">
        <v>41</v>
      </c>
      <c r="I261" s="6" t="n">
        <v>139</v>
      </c>
      <c r="J261" s="5" t="inlineStr">
        <is>
          <t>CA</t>
        </is>
      </c>
      <c r="K261" s="5" t="inlineStr">
        <is>
          <t>Condo</t>
        </is>
      </c>
      <c r="L261" s="5" t="inlineStr">
        <is>
          <t>Coastal Mortgage Co</t>
        </is>
      </c>
      <c r="M261" s="5" t="inlineStr">
        <is>
          <t>Northgate Servicing</t>
        </is>
      </c>
    </row>
    <row r="262">
      <c r="A262" s="7" t="inlineStr">
        <is>
          <t>L100257</t>
        </is>
      </c>
      <c r="B262" s="8" t="n">
        <v>212850.51</v>
      </c>
      <c r="C262" s="8" t="n">
        <v>205200.46</v>
      </c>
      <c r="D262" s="27" t="n">
        <v>5.733</v>
      </c>
      <c r="E262" s="10" t="n">
        <v>729</v>
      </c>
      <c r="F262" s="12" t="n">
        <v>87.40000000000001</v>
      </c>
      <c r="G262" s="12" t="n">
        <v>36.1</v>
      </c>
      <c r="H262" s="10" t="n">
        <v>10</v>
      </c>
      <c r="I262" s="10" t="n">
        <v>170</v>
      </c>
      <c r="J262" s="7" t="inlineStr">
        <is>
          <t>NY</t>
        </is>
      </c>
      <c r="K262" s="7" t="inlineStr">
        <is>
          <t>Condo</t>
        </is>
      </c>
      <c r="L262" s="7" t="inlineStr">
        <is>
          <t>Highline Capital</t>
        </is>
      </c>
      <c r="M262" s="7" t="inlineStr">
        <is>
          <t>Summit Loan Servicing</t>
        </is>
      </c>
    </row>
    <row r="263">
      <c r="A263" s="5" t="inlineStr">
        <is>
          <t>L100258</t>
        </is>
      </c>
      <c r="B263" s="16" t="n">
        <v>231691.49</v>
      </c>
      <c r="C263" s="16" t="n">
        <v>200676.75</v>
      </c>
      <c r="D263" s="26" t="n">
        <v>6.574</v>
      </c>
      <c r="E263" s="6" t="n">
        <v>775</v>
      </c>
      <c r="F263" s="11" t="n">
        <v>92.09999999999999</v>
      </c>
      <c r="G263" s="11" t="n">
        <v>27.1</v>
      </c>
      <c r="H263" s="6" t="n">
        <v>37</v>
      </c>
      <c r="I263" s="6" t="n">
        <v>143</v>
      </c>
      <c r="J263" s="5" t="inlineStr">
        <is>
          <t>IL</t>
        </is>
      </c>
      <c r="K263" s="5" t="inlineStr">
        <is>
          <t>2-4 Unit</t>
        </is>
      </c>
      <c r="L263" s="5" t="inlineStr">
        <is>
          <t>Coastal Mortgage Co</t>
        </is>
      </c>
      <c r="M263" s="5" t="inlineStr">
        <is>
          <t>Pier Asset Mgmt</t>
        </is>
      </c>
    </row>
    <row r="264">
      <c r="A264" s="7" t="inlineStr">
        <is>
          <t>L100259</t>
        </is>
      </c>
      <c r="B264" s="8" t="n">
        <v>150059.4</v>
      </c>
      <c r="C264" s="8" t="n">
        <v>145457.87</v>
      </c>
      <c r="D264" s="27" t="n">
        <v>6.647</v>
      </c>
      <c r="E264" s="10" t="n">
        <v>745</v>
      </c>
      <c r="F264" s="12" t="n">
        <v>69.59999999999999</v>
      </c>
      <c r="G264" s="12" t="n">
        <v>28.1</v>
      </c>
      <c r="H264" s="10" t="n">
        <v>32</v>
      </c>
      <c r="I264" s="10" t="n">
        <v>328</v>
      </c>
      <c r="J264" s="7" t="inlineStr">
        <is>
          <t>WA</t>
        </is>
      </c>
      <c r="K264" s="7" t="inlineStr">
        <is>
          <t>2-4 Unit</t>
        </is>
      </c>
      <c r="L264" s="7" t="inlineStr">
        <is>
          <t>Coastal Mortgage Co</t>
        </is>
      </c>
      <c r="M264" s="7" t="inlineStr">
        <is>
          <t>Summit Loan Servicing</t>
        </is>
      </c>
    </row>
    <row r="265">
      <c r="A265" s="5" t="inlineStr">
        <is>
          <t>L100260</t>
        </is>
      </c>
      <c r="B265" s="16" t="n">
        <v>223382.13</v>
      </c>
      <c r="C265" s="16" t="n">
        <v>216326.78</v>
      </c>
      <c r="D265" s="26" t="n">
        <v>5.001</v>
      </c>
      <c r="E265" s="6" t="n">
        <v>584</v>
      </c>
      <c r="F265" s="11" t="n">
        <v>77.5</v>
      </c>
      <c r="G265" s="11" t="n">
        <v>31.5</v>
      </c>
      <c r="H265" s="6" t="n">
        <v>25</v>
      </c>
      <c r="I265" s="6" t="n">
        <v>335</v>
      </c>
      <c r="J265" s="5" t="inlineStr">
        <is>
          <t>GA</t>
        </is>
      </c>
      <c r="K265" s="5" t="inlineStr">
        <is>
          <t>SFR</t>
        </is>
      </c>
      <c r="L265" s="5" t="inlineStr">
        <is>
          <t>Highline Capital</t>
        </is>
      </c>
      <c r="M265" s="5" t="inlineStr">
        <is>
          <t>Northgate Servicing</t>
        </is>
      </c>
    </row>
    <row r="266">
      <c r="A266" s="7" t="inlineStr">
        <is>
          <t>L100261</t>
        </is>
      </c>
      <c r="B266" s="8" t="n">
        <v>221187.13</v>
      </c>
      <c r="C266" s="8" t="n">
        <v>220400.36</v>
      </c>
      <c r="D266" s="27" t="n">
        <v>6.627</v>
      </c>
      <c r="E266" s="10" t="n">
        <v>672</v>
      </c>
      <c r="F266" s="12" t="n">
        <v>87.40000000000001</v>
      </c>
      <c r="G266" s="12" t="n">
        <v>39.8</v>
      </c>
      <c r="H266" s="10" t="n">
        <v>4</v>
      </c>
      <c r="I266" s="10" t="n">
        <v>356</v>
      </c>
      <c r="J266" s="7" t="inlineStr">
        <is>
          <t>NY</t>
        </is>
      </c>
      <c r="K266" s="7" t="inlineStr">
        <is>
          <t>SFR</t>
        </is>
      </c>
      <c r="L266" s="7" t="inlineStr">
        <is>
          <t>Coastal Mortgage Co</t>
        </is>
      </c>
      <c r="M266" s="7" t="inlineStr">
        <is>
          <t>Pier Asset Mgmt</t>
        </is>
      </c>
    </row>
    <row r="267">
      <c r="A267" s="5" t="inlineStr">
        <is>
          <t>L100262</t>
        </is>
      </c>
      <c r="B267" s="16" t="n">
        <v>263355.33</v>
      </c>
      <c r="C267" s="16" t="n">
        <v>228625.04</v>
      </c>
      <c r="D267" s="26" t="n">
        <v>6.359</v>
      </c>
      <c r="E267" s="6" t="n">
        <v>723</v>
      </c>
      <c r="F267" s="11" t="n">
        <v>68.40000000000001</v>
      </c>
      <c r="G267" s="11" t="n">
        <v>33.4</v>
      </c>
      <c r="H267" s="6" t="n">
        <v>36</v>
      </c>
      <c r="I267" s="6" t="n">
        <v>144</v>
      </c>
      <c r="J267" s="5" t="inlineStr">
        <is>
          <t>OH</t>
        </is>
      </c>
      <c r="K267" s="5" t="inlineStr">
        <is>
          <t>Multifamily</t>
        </is>
      </c>
      <c r="L267" s="5" t="inlineStr">
        <is>
          <t>Apex Funding</t>
        </is>
      </c>
      <c r="M267" s="5" t="inlineStr">
        <is>
          <t>Summit Loan Servicing</t>
        </is>
      </c>
    </row>
    <row r="268">
      <c r="A268" s="7" t="inlineStr">
        <is>
          <t>L100263</t>
        </is>
      </c>
      <c r="B268" s="8" t="n">
        <v>199912.58</v>
      </c>
      <c r="C268" s="8" t="n">
        <v>197876.49</v>
      </c>
      <c r="D268" s="27" t="n">
        <v>6.517</v>
      </c>
      <c r="E268" s="10" t="n">
        <v>704</v>
      </c>
      <c r="F268" s="12" t="n">
        <v>84.40000000000001</v>
      </c>
      <c r="G268" s="12" t="n">
        <v>30.8</v>
      </c>
      <c r="H268" s="10" t="n">
        <v>11</v>
      </c>
      <c r="I268" s="10" t="n">
        <v>349</v>
      </c>
      <c r="J268" s="7" t="inlineStr">
        <is>
          <t>FL</t>
        </is>
      </c>
      <c r="K268" s="7" t="inlineStr">
        <is>
          <t>SFR</t>
        </is>
      </c>
      <c r="L268" s="7" t="inlineStr">
        <is>
          <t>Meridian Home Loans</t>
        </is>
      </c>
      <c r="M268" s="7" t="inlineStr">
        <is>
          <t>Summit Loan Servicing</t>
        </is>
      </c>
    </row>
    <row r="269">
      <c r="A269" s="5" t="inlineStr">
        <is>
          <t>L100264</t>
        </is>
      </c>
      <c r="B269" s="16" t="n">
        <v>286369.58</v>
      </c>
      <c r="C269" s="16" t="n">
        <v>273721.86</v>
      </c>
      <c r="D269" s="26" t="n">
        <v>6.432</v>
      </c>
      <c r="E269" s="6" t="n">
        <v>741</v>
      </c>
      <c r="F269" s="11" t="n">
        <v>65.90000000000001</v>
      </c>
      <c r="G269" s="11" t="n">
        <v>36.4</v>
      </c>
      <c r="H269" s="6" t="n">
        <v>43</v>
      </c>
      <c r="I269" s="6" t="n">
        <v>317</v>
      </c>
      <c r="J269" s="5" t="inlineStr">
        <is>
          <t>OH</t>
        </is>
      </c>
      <c r="K269" s="5" t="inlineStr">
        <is>
          <t>SFR</t>
        </is>
      </c>
      <c r="L269" s="5" t="inlineStr">
        <is>
          <t>Highline Capital</t>
        </is>
      </c>
      <c r="M269" s="5" t="inlineStr">
        <is>
          <t>Northgate Servicing</t>
        </is>
      </c>
    </row>
    <row r="270">
      <c r="A270" s="7" t="inlineStr">
        <is>
          <t>L100265</t>
        </is>
      </c>
      <c r="B270" s="8" t="n">
        <v>346088.75</v>
      </c>
      <c r="C270" s="8" t="n">
        <v>333236.51</v>
      </c>
      <c r="D270" s="27" t="n">
        <v>6.633</v>
      </c>
      <c r="E270" s="10" t="n">
        <v>758</v>
      </c>
      <c r="F270" s="12" t="n">
        <v>68.3</v>
      </c>
      <c r="G270" s="12" t="n">
        <v>26.8</v>
      </c>
      <c r="H270" s="10" t="n">
        <v>38</v>
      </c>
      <c r="I270" s="10" t="n">
        <v>322</v>
      </c>
      <c r="J270" s="7" t="inlineStr">
        <is>
          <t>IL</t>
        </is>
      </c>
      <c r="K270" s="7" t="inlineStr">
        <is>
          <t>2-4 Unit</t>
        </is>
      </c>
      <c r="L270" s="7" t="inlineStr">
        <is>
          <t>Coastal Mortgage Co</t>
        </is>
      </c>
      <c r="M270" s="7" t="inlineStr">
        <is>
          <t>Pier Asset Mgmt</t>
        </is>
      </c>
    </row>
    <row r="271">
      <c r="A271" s="5" t="inlineStr">
        <is>
          <t>L100266</t>
        </is>
      </c>
      <c r="B271" s="16" t="n">
        <v>256375.97</v>
      </c>
      <c r="C271" s="16" t="n">
        <v>252834.9</v>
      </c>
      <c r="D271" s="26" t="n">
        <v>7.604</v>
      </c>
      <c r="E271" s="6" t="n">
        <v>748</v>
      </c>
      <c r="F271" s="11" t="n">
        <v>64.40000000000001</v>
      </c>
      <c r="G271" s="11" t="n">
        <v>39.4</v>
      </c>
      <c r="H271" s="6" t="n">
        <v>18</v>
      </c>
      <c r="I271" s="6" t="n">
        <v>342</v>
      </c>
      <c r="J271" s="5" t="inlineStr">
        <is>
          <t>NY</t>
        </is>
      </c>
      <c r="K271" s="5" t="inlineStr">
        <is>
          <t>SFR</t>
        </is>
      </c>
      <c r="L271" s="5" t="inlineStr">
        <is>
          <t>Apex Funding</t>
        </is>
      </c>
      <c r="M271" s="5" t="inlineStr">
        <is>
          <t>Summit Loan Servicing</t>
        </is>
      </c>
    </row>
    <row r="272">
      <c r="A272" s="7" t="inlineStr">
        <is>
          <t>L100267</t>
        </is>
      </c>
      <c r="B272" s="8" t="n">
        <v>274612.07</v>
      </c>
      <c r="C272" s="8" t="n">
        <v>267807.36</v>
      </c>
      <c r="D272" s="27" t="n">
        <v>5.338</v>
      </c>
      <c r="E272" s="10" t="n">
        <v>703</v>
      </c>
      <c r="F272" s="12" t="n">
        <v>78.09999999999999</v>
      </c>
      <c r="G272" s="12" t="n">
        <v>45.1</v>
      </c>
      <c r="H272" s="10" t="n">
        <v>21</v>
      </c>
      <c r="I272" s="10" t="n">
        <v>339</v>
      </c>
      <c r="J272" s="7" t="inlineStr">
        <is>
          <t>NY</t>
        </is>
      </c>
      <c r="K272" s="7" t="inlineStr">
        <is>
          <t>Multifamily</t>
        </is>
      </c>
      <c r="L272" s="7" t="inlineStr">
        <is>
          <t>Apex Funding</t>
        </is>
      </c>
      <c r="M272" s="7" t="inlineStr">
        <is>
          <t>Summit Loan Servicing</t>
        </is>
      </c>
    </row>
    <row r="273">
      <c r="A273" s="5" t="inlineStr">
        <is>
          <t>L100268</t>
        </is>
      </c>
      <c r="B273" s="16" t="n">
        <v>247361.07</v>
      </c>
      <c r="C273" s="16" t="n">
        <v>246875.95</v>
      </c>
      <c r="D273" s="26" t="n">
        <v>6.092</v>
      </c>
      <c r="E273" s="6" t="n">
        <v>613</v>
      </c>
      <c r="F273" s="11" t="n">
        <v>87.90000000000001</v>
      </c>
      <c r="G273" s="11" t="n">
        <v>35.4</v>
      </c>
      <c r="H273" s="6" t="n">
        <v>2</v>
      </c>
      <c r="I273" s="6" t="n">
        <v>358</v>
      </c>
      <c r="J273" s="5" t="inlineStr">
        <is>
          <t>CA</t>
        </is>
      </c>
      <c r="K273" s="5" t="inlineStr">
        <is>
          <t>SFR</t>
        </is>
      </c>
      <c r="L273" s="5" t="inlineStr">
        <is>
          <t>Coastal Mortgage Co</t>
        </is>
      </c>
      <c r="M273" s="5" t="inlineStr">
        <is>
          <t>Pier Asset Mgmt</t>
        </is>
      </c>
    </row>
    <row r="274">
      <c r="A274" s="7" t="inlineStr">
        <is>
          <t>L100269</t>
        </is>
      </c>
      <c r="B274" s="8" t="n">
        <v>242808.79</v>
      </c>
      <c r="C274" s="8" t="n">
        <v>237697.54</v>
      </c>
      <c r="D274" s="27" t="n">
        <v>7</v>
      </c>
      <c r="E274" s="10" t="n">
        <v>690</v>
      </c>
      <c r="F274" s="12" t="n">
        <v>71.8</v>
      </c>
      <c r="G274" s="12" t="n">
        <v>34.4</v>
      </c>
      <c r="H274" s="10" t="n">
        <v>24</v>
      </c>
      <c r="I274" s="10" t="n">
        <v>336</v>
      </c>
      <c r="J274" s="7" t="inlineStr">
        <is>
          <t>NC</t>
        </is>
      </c>
      <c r="K274" s="7" t="inlineStr">
        <is>
          <t>2-4 Unit</t>
        </is>
      </c>
      <c r="L274" s="7" t="inlineStr">
        <is>
          <t>Coastal Mortgage Co</t>
        </is>
      </c>
      <c r="M274" s="7" t="inlineStr">
        <is>
          <t>Northgate Servicing</t>
        </is>
      </c>
    </row>
    <row r="275">
      <c r="A275" s="5" t="inlineStr">
        <is>
          <t>L100270</t>
        </is>
      </c>
      <c r="B275" s="16" t="n">
        <v>188613.4</v>
      </c>
      <c r="C275" s="16" t="n">
        <v>188131.35</v>
      </c>
      <c r="D275" s="26" t="n">
        <v>6.833</v>
      </c>
      <c r="E275" s="6" t="n">
        <v>738</v>
      </c>
      <c r="F275" s="11" t="n">
        <v>58.7</v>
      </c>
      <c r="G275" s="11" t="n">
        <v>39</v>
      </c>
      <c r="H275" s="6" t="n">
        <v>3</v>
      </c>
      <c r="I275" s="6" t="n">
        <v>357</v>
      </c>
      <c r="J275" s="5" t="inlineStr">
        <is>
          <t>GA</t>
        </is>
      </c>
      <c r="K275" s="5" t="inlineStr">
        <is>
          <t>SFR</t>
        </is>
      </c>
      <c r="L275" s="5" t="inlineStr">
        <is>
          <t>Meridian Home Loans</t>
        </is>
      </c>
      <c r="M275" s="5" t="inlineStr">
        <is>
          <t>Pier Asset Mgmt</t>
        </is>
      </c>
    </row>
    <row r="276">
      <c r="A276" s="7" t="inlineStr">
        <is>
          <t>L100271</t>
        </is>
      </c>
      <c r="B276" s="8" t="n">
        <v>271243.71</v>
      </c>
      <c r="C276" s="8" t="n">
        <v>258858.07</v>
      </c>
      <c r="D276" s="27" t="n">
        <v>6.813</v>
      </c>
      <c r="E276" s="10" t="n">
        <v>655</v>
      </c>
      <c r="F276" s="12" t="n">
        <v>61</v>
      </c>
      <c r="G276" s="12" t="n">
        <v>19.8</v>
      </c>
      <c r="H276" s="10" t="n">
        <v>47</v>
      </c>
      <c r="I276" s="10" t="n">
        <v>313</v>
      </c>
      <c r="J276" s="7" t="inlineStr">
        <is>
          <t>NC</t>
        </is>
      </c>
      <c r="K276" s="7" t="inlineStr">
        <is>
          <t>Condo</t>
        </is>
      </c>
      <c r="L276" s="7" t="inlineStr">
        <is>
          <t>Coastal Mortgage Co</t>
        </is>
      </c>
      <c r="M276" s="7" t="inlineStr">
        <is>
          <t>Summit Loan Servicing</t>
        </is>
      </c>
    </row>
    <row r="277">
      <c r="A277" s="5" t="inlineStr">
        <is>
          <t>L100272</t>
        </is>
      </c>
      <c r="B277" s="16" t="n">
        <v>234673.32</v>
      </c>
      <c r="C277" s="16" t="n">
        <v>230111.04</v>
      </c>
      <c r="D277" s="26" t="n">
        <v>8.878</v>
      </c>
      <c r="E277" s="6" t="n">
        <v>750</v>
      </c>
      <c r="F277" s="11" t="n">
        <v>78.7</v>
      </c>
      <c r="G277" s="11" t="n">
        <v>40.3</v>
      </c>
      <c r="H277" s="6" t="n">
        <v>31</v>
      </c>
      <c r="I277" s="6" t="n">
        <v>329</v>
      </c>
      <c r="J277" s="5" t="inlineStr">
        <is>
          <t>NC</t>
        </is>
      </c>
      <c r="K277" s="5" t="inlineStr">
        <is>
          <t>Condo</t>
        </is>
      </c>
      <c r="L277" s="5" t="inlineStr">
        <is>
          <t>Coastal Mortgage Co</t>
        </is>
      </c>
      <c r="M277" s="5" t="inlineStr">
        <is>
          <t>Summit Loan Servicing</t>
        </is>
      </c>
    </row>
    <row r="278">
      <c r="A278" s="7" t="inlineStr">
        <is>
          <t>L100273</t>
        </is>
      </c>
      <c r="B278" s="8" t="n">
        <v>505149.1</v>
      </c>
      <c r="C278" s="8" t="n">
        <v>485322.27</v>
      </c>
      <c r="D278" s="27" t="n">
        <v>6.953</v>
      </c>
      <c r="E278" s="10" t="n">
        <v>765</v>
      </c>
      <c r="F278" s="12" t="n">
        <v>96.09999999999999</v>
      </c>
      <c r="G278" s="12" t="n">
        <v>55</v>
      </c>
      <c r="H278" s="10" t="n">
        <v>12</v>
      </c>
      <c r="I278" s="10" t="n">
        <v>168</v>
      </c>
      <c r="J278" s="7" t="inlineStr">
        <is>
          <t>CA</t>
        </is>
      </c>
      <c r="K278" s="7" t="inlineStr">
        <is>
          <t>SFR</t>
        </is>
      </c>
      <c r="L278" s="7" t="inlineStr">
        <is>
          <t>Coastal Mortgage Co</t>
        </is>
      </c>
      <c r="M278" s="7" t="inlineStr">
        <is>
          <t>Northgate Servicing</t>
        </is>
      </c>
    </row>
    <row r="279">
      <c r="A279" s="5" t="inlineStr">
        <is>
          <t>L100274</t>
        </is>
      </c>
      <c r="B279" s="16" t="n">
        <v>421120.47</v>
      </c>
      <c r="C279" s="16" t="n">
        <v>407559.06</v>
      </c>
      <c r="D279" s="26" t="n">
        <v>7.418</v>
      </c>
      <c r="E279" s="6" t="n">
        <v>722</v>
      </c>
      <c r="F279" s="11" t="n">
        <v>78.7</v>
      </c>
      <c r="G279" s="11" t="n">
        <v>35</v>
      </c>
      <c r="H279" s="6" t="n">
        <v>38</v>
      </c>
      <c r="I279" s="6" t="n">
        <v>322</v>
      </c>
      <c r="J279" s="5" t="inlineStr">
        <is>
          <t>OH</t>
        </is>
      </c>
      <c r="K279" s="5" t="inlineStr">
        <is>
          <t>SFR</t>
        </is>
      </c>
      <c r="L279" s="5" t="inlineStr">
        <is>
          <t>Coastal Mortgage Co</t>
        </is>
      </c>
      <c r="M279" s="5" t="inlineStr">
        <is>
          <t>Summit Loan Servicing</t>
        </is>
      </c>
    </row>
    <row r="280">
      <c r="A280" s="7" t="inlineStr">
        <is>
          <t>L100275</t>
        </is>
      </c>
      <c r="B280" s="8" t="n">
        <v>277908.25</v>
      </c>
      <c r="C280" s="8" t="n">
        <v>277638.09</v>
      </c>
      <c r="D280" s="27" t="n">
        <v>6.124</v>
      </c>
      <c r="E280" s="10" t="n">
        <v>580</v>
      </c>
      <c r="F280" s="12" t="n">
        <v>69.40000000000001</v>
      </c>
      <c r="G280" s="12" t="n">
        <v>35</v>
      </c>
      <c r="H280" s="10" t="n">
        <v>1</v>
      </c>
      <c r="I280" s="10" t="n">
        <v>359</v>
      </c>
      <c r="J280" s="7" t="inlineStr">
        <is>
          <t>GA</t>
        </is>
      </c>
      <c r="K280" s="7" t="inlineStr">
        <is>
          <t>Multifamily</t>
        </is>
      </c>
      <c r="L280" s="7" t="inlineStr">
        <is>
          <t>Apex Funding</t>
        </is>
      </c>
      <c r="M280" s="7" t="inlineStr">
        <is>
          <t>Northgate Servicing</t>
        </is>
      </c>
    </row>
    <row r="281">
      <c r="A281" s="5" t="inlineStr">
        <is>
          <t>L100276</t>
        </is>
      </c>
      <c r="B281" s="16" t="n">
        <v>185893.64</v>
      </c>
      <c r="C281" s="16" t="n">
        <v>180294.86</v>
      </c>
      <c r="D281" s="26" t="n">
        <v>5.506</v>
      </c>
      <c r="E281" s="6" t="n">
        <v>645</v>
      </c>
      <c r="F281" s="11" t="n">
        <v>83.2</v>
      </c>
      <c r="G281" s="11" t="n">
        <v>41.9</v>
      </c>
      <c r="H281" s="6" t="n">
        <v>26</v>
      </c>
      <c r="I281" s="6" t="n">
        <v>334</v>
      </c>
      <c r="J281" s="5" t="inlineStr">
        <is>
          <t>NC</t>
        </is>
      </c>
      <c r="K281" s="5" t="inlineStr">
        <is>
          <t>Multifamily</t>
        </is>
      </c>
      <c r="L281" s="5" t="inlineStr">
        <is>
          <t>Highline Capital</t>
        </is>
      </c>
      <c r="M281" s="5" t="inlineStr">
        <is>
          <t>Pier Asset Mgmt</t>
        </is>
      </c>
    </row>
    <row r="282">
      <c r="A282" s="7" t="inlineStr">
        <is>
          <t>L100277</t>
        </is>
      </c>
      <c r="B282" s="8" t="n">
        <v>164498.38</v>
      </c>
      <c r="C282" s="8" t="n">
        <v>163525.28</v>
      </c>
      <c r="D282" s="27" t="n">
        <v>6.117</v>
      </c>
      <c r="E282" s="10" t="n">
        <v>819</v>
      </c>
      <c r="F282" s="12" t="n">
        <v>71.09999999999999</v>
      </c>
      <c r="G282" s="12" t="n">
        <v>49.2</v>
      </c>
      <c r="H282" s="10" t="n">
        <v>6</v>
      </c>
      <c r="I282" s="10" t="n">
        <v>354</v>
      </c>
      <c r="J282" s="7" t="inlineStr">
        <is>
          <t>CA</t>
        </is>
      </c>
      <c r="K282" s="7" t="inlineStr">
        <is>
          <t>Multifamily</t>
        </is>
      </c>
      <c r="L282" s="7" t="inlineStr">
        <is>
          <t>Highline Capital</t>
        </is>
      </c>
      <c r="M282" s="7" t="inlineStr">
        <is>
          <t>Pier Asset Mgmt</t>
        </is>
      </c>
    </row>
    <row r="283">
      <c r="A283" s="5" t="inlineStr">
        <is>
          <t>L100278</t>
        </is>
      </c>
      <c r="B283" s="16" t="n">
        <v>368390.96</v>
      </c>
      <c r="C283" s="16" t="n">
        <v>367487.08</v>
      </c>
      <c r="D283" s="26" t="n">
        <v>7.041</v>
      </c>
      <c r="E283" s="6" t="n">
        <v>685</v>
      </c>
      <c r="F283" s="11" t="n">
        <v>69.5</v>
      </c>
      <c r="G283" s="11" t="n">
        <v>43.8</v>
      </c>
      <c r="H283" s="6" t="n">
        <v>3</v>
      </c>
      <c r="I283" s="6" t="n">
        <v>357</v>
      </c>
      <c r="J283" s="5" t="inlineStr">
        <is>
          <t>AZ</t>
        </is>
      </c>
      <c r="K283" s="5" t="inlineStr">
        <is>
          <t>SFR</t>
        </is>
      </c>
      <c r="L283" s="5" t="inlineStr">
        <is>
          <t>Highline Capital</t>
        </is>
      </c>
      <c r="M283" s="5" t="inlineStr">
        <is>
          <t>Pier Asset Mgmt</t>
        </is>
      </c>
    </row>
    <row r="284">
      <c r="A284" s="7" t="inlineStr">
        <is>
          <t>L100279</t>
        </is>
      </c>
      <c r="B284" s="8" t="n">
        <v>266189.1</v>
      </c>
      <c r="C284" s="8" t="n">
        <v>255579.72</v>
      </c>
      <c r="D284" s="27" t="n">
        <v>6.766</v>
      </c>
      <c r="E284" s="10" t="n">
        <v>606</v>
      </c>
      <c r="F284" s="12" t="n">
        <v>62.5</v>
      </c>
      <c r="G284" s="12" t="n">
        <v>18.8</v>
      </c>
      <c r="H284" s="10" t="n">
        <v>12</v>
      </c>
      <c r="I284" s="10" t="n">
        <v>168</v>
      </c>
      <c r="J284" s="7" t="inlineStr">
        <is>
          <t>NC</t>
        </is>
      </c>
      <c r="K284" s="7" t="inlineStr">
        <is>
          <t>SFR</t>
        </is>
      </c>
      <c r="L284" s="7" t="inlineStr">
        <is>
          <t>Apex Funding</t>
        </is>
      </c>
      <c r="M284" s="7" t="inlineStr">
        <is>
          <t>Northgate Servicing</t>
        </is>
      </c>
    </row>
    <row r="285">
      <c r="A285" s="5" t="inlineStr">
        <is>
          <t>L100280</t>
        </is>
      </c>
      <c r="B285" s="16" t="n">
        <v>287233.34</v>
      </c>
      <c r="C285" s="16" t="n">
        <v>283650.5</v>
      </c>
      <c r="D285" s="26" t="n">
        <v>6.763</v>
      </c>
      <c r="E285" s="6" t="n">
        <v>783</v>
      </c>
      <c r="F285" s="11" t="n">
        <v>90.90000000000001</v>
      </c>
      <c r="G285" s="11" t="n">
        <v>40.5</v>
      </c>
      <c r="H285" s="6" t="n">
        <v>14</v>
      </c>
      <c r="I285" s="6" t="n">
        <v>346</v>
      </c>
      <c r="J285" s="5" t="inlineStr">
        <is>
          <t>NY</t>
        </is>
      </c>
      <c r="K285" s="5" t="inlineStr">
        <is>
          <t>SFR</t>
        </is>
      </c>
      <c r="L285" s="5" t="inlineStr">
        <is>
          <t>Coastal Mortgage Co</t>
        </is>
      </c>
      <c r="M285" s="5" t="inlineStr">
        <is>
          <t>Pier Asset Mgmt</t>
        </is>
      </c>
    </row>
    <row r="286">
      <c r="A286" s="7" t="inlineStr">
        <is>
          <t>L100281</t>
        </is>
      </c>
      <c r="B286" s="8" t="n">
        <v>131846.67</v>
      </c>
      <c r="C286" s="8" t="n">
        <v>127020.44</v>
      </c>
      <c r="D286" s="27" t="n">
        <v>6.207</v>
      </c>
      <c r="E286" s="10" t="n">
        <v>716</v>
      </c>
      <c r="F286" s="12" t="n">
        <v>43.5</v>
      </c>
      <c r="G286" s="12" t="n">
        <v>55</v>
      </c>
      <c r="H286" s="10" t="n">
        <v>35</v>
      </c>
      <c r="I286" s="10" t="n">
        <v>325</v>
      </c>
      <c r="J286" s="7" t="inlineStr">
        <is>
          <t>WA</t>
        </is>
      </c>
      <c r="K286" s="7" t="inlineStr">
        <is>
          <t>SFR</t>
        </is>
      </c>
      <c r="L286" s="7" t="inlineStr">
        <is>
          <t>Apex Funding</t>
        </is>
      </c>
      <c r="M286" s="7" t="inlineStr">
        <is>
          <t>Northgate Servicing</t>
        </is>
      </c>
    </row>
    <row r="287">
      <c r="A287" s="5" t="inlineStr">
        <is>
          <t>L100282</t>
        </is>
      </c>
      <c r="B287" s="16" t="n">
        <v>335911.65</v>
      </c>
      <c r="C287" s="16" t="n">
        <v>320498.8</v>
      </c>
      <c r="D287" s="26" t="n">
        <v>6.064</v>
      </c>
      <c r="E287" s="6" t="n">
        <v>776</v>
      </c>
      <c r="F287" s="11" t="n">
        <v>83.59999999999999</v>
      </c>
      <c r="G287" s="11" t="n">
        <v>41</v>
      </c>
      <c r="H287" s="6" t="n">
        <v>42</v>
      </c>
      <c r="I287" s="6" t="n">
        <v>318</v>
      </c>
      <c r="J287" s="5" t="inlineStr">
        <is>
          <t>NC</t>
        </is>
      </c>
      <c r="K287" s="5" t="inlineStr">
        <is>
          <t>SFR</t>
        </is>
      </c>
      <c r="L287" s="5" t="inlineStr">
        <is>
          <t>Meridian Home Loans</t>
        </is>
      </c>
      <c r="M287" s="5" t="inlineStr">
        <is>
          <t>Northgate Servicing</t>
        </is>
      </c>
    </row>
    <row r="288">
      <c r="A288" s="7" t="inlineStr">
        <is>
          <t>L100283</t>
        </is>
      </c>
      <c r="B288" s="8" t="n">
        <v>284658.96</v>
      </c>
      <c r="C288" s="8" t="n">
        <v>273645.58</v>
      </c>
      <c r="D288" s="27" t="n">
        <v>6.238</v>
      </c>
      <c r="E288" s="10" t="n">
        <v>730</v>
      </c>
      <c r="F288" s="12" t="n">
        <v>68.40000000000001</v>
      </c>
      <c r="G288" s="12" t="n">
        <v>26.8</v>
      </c>
      <c r="H288" s="10" t="n">
        <v>37</v>
      </c>
      <c r="I288" s="10" t="n">
        <v>323</v>
      </c>
      <c r="J288" s="7" t="inlineStr">
        <is>
          <t>WA</t>
        </is>
      </c>
      <c r="K288" s="7" t="inlineStr">
        <is>
          <t>SFR</t>
        </is>
      </c>
      <c r="L288" s="7" t="inlineStr">
        <is>
          <t>Highline Capital</t>
        </is>
      </c>
      <c r="M288" s="7" t="inlineStr">
        <is>
          <t>Pier Asset Mgmt</t>
        </is>
      </c>
    </row>
    <row r="289">
      <c r="A289" s="5" t="inlineStr">
        <is>
          <t>L100284</t>
        </is>
      </c>
      <c r="B289" s="16" t="n">
        <v>164612.46</v>
      </c>
      <c r="C289" s="16" t="n">
        <v>159439.46</v>
      </c>
      <c r="D289" s="26" t="n">
        <v>7.052</v>
      </c>
      <c r="E289" s="6" t="n">
        <v>740</v>
      </c>
      <c r="F289" s="11" t="n">
        <v>69.09999999999999</v>
      </c>
      <c r="G289" s="11" t="n">
        <v>38.3</v>
      </c>
      <c r="H289" s="6" t="n">
        <v>35</v>
      </c>
      <c r="I289" s="6" t="n">
        <v>325</v>
      </c>
      <c r="J289" s="5" t="inlineStr">
        <is>
          <t>OH</t>
        </is>
      </c>
      <c r="K289" s="5" t="inlineStr">
        <is>
          <t>SFR</t>
        </is>
      </c>
      <c r="L289" s="5" t="inlineStr">
        <is>
          <t>Apex Funding</t>
        </is>
      </c>
      <c r="M289" s="5" t="inlineStr">
        <is>
          <t>Pier Asset Mgmt</t>
        </is>
      </c>
    </row>
    <row r="290">
      <c r="A290" s="7" t="inlineStr">
        <is>
          <t>L100285</t>
        </is>
      </c>
      <c r="B290" s="8" t="n">
        <v>205863.03</v>
      </c>
      <c r="C290" s="8" t="n">
        <v>201086.13</v>
      </c>
      <c r="D290" s="27" t="n">
        <v>7.157</v>
      </c>
      <c r="E290" s="10" t="n">
        <v>735</v>
      </c>
      <c r="F290" s="12" t="n">
        <v>94.3</v>
      </c>
      <c r="G290" s="12" t="n">
        <v>25.8</v>
      </c>
      <c r="H290" s="10" t="n">
        <v>27</v>
      </c>
      <c r="I290" s="10" t="n">
        <v>333</v>
      </c>
      <c r="J290" s="7" t="inlineStr">
        <is>
          <t>FL</t>
        </is>
      </c>
      <c r="K290" s="7" t="inlineStr">
        <is>
          <t>SFR</t>
        </is>
      </c>
      <c r="L290" s="7" t="inlineStr">
        <is>
          <t>Meridian Home Loans</t>
        </is>
      </c>
      <c r="M290" s="7" t="inlineStr">
        <is>
          <t>Pier Asset Mgmt</t>
        </is>
      </c>
    </row>
    <row r="291">
      <c r="A291" s="5" t="inlineStr">
        <is>
          <t>L100286</t>
        </is>
      </c>
      <c r="B291" s="16" t="n">
        <v>266279.3</v>
      </c>
      <c r="C291" s="16" t="n">
        <v>260817.66</v>
      </c>
      <c r="D291" s="26" t="n">
        <v>5.494</v>
      </c>
      <c r="E291" s="6" t="n">
        <v>753</v>
      </c>
      <c r="F291" s="11" t="n">
        <v>65.40000000000001</v>
      </c>
      <c r="G291" s="11" t="n">
        <v>45.9</v>
      </c>
      <c r="H291" s="6" t="n">
        <v>18</v>
      </c>
      <c r="I291" s="6" t="n">
        <v>342</v>
      </c>
      <c r="J291" s="5" t="inlineStr">
        <is>
          <t>WA</t>
        </is>
      </c>
      <c r="K291" s="5" t="inlineStr">
        <is>
          <t>SFR</t>
        </is>
      </c>
      <c r="L291" s="5" t="inlineStr">
        <is>
          <t>Coastal Mortgage Co</t>
        </is>
      </c>
      <c r="M291" s="5" t="inlineStr">
        <is>
          <t>Summit Loan Servicing</t>
        </is>
      </c>
    </row>
    <row r="292">
      <c r="A292" s="7" t="inlineStr">
        <is>
          <t>L100287</t>
        </is>
      </c>
      <c r="B292" s="8" t="n">
        <v>247301.47</v>
      </c>
      <c r="C292" s="8" t="n">
        <v>237700.74</v>
      </c>
      <c r="D292" s="27" t="n">
        <v>7.086</v>
      </c>
      <c r="E292" s="10" t="n">
        <v>820</v>
      </c>
      <c r="F292" s="12" t="n">
        <v>65.8</v>
      </c>
      <c r="G292" s="12" t="n">
        <v>28.4</v>
      </c>
      <c r="H292" s="10" t="n">
        <v>12</v>
      </c>
      <c r="I292" s="10" t="n">
        <v>168</v>
      </c>
      <c r="J292" s="7" t="inlineStr">
        <is>
          <t>AZ</t>
        </is>
      </c>
      <c r="K292" s="7" t="inlineStr">
        <is>
          <t>SFR</t>
        </is>
      </c>
      <c r="L292" s="7" t="inlineStr">
        <is>
          <t>Coastal Mortgage Co</t>
        </is>
      </c>
      <c r="M292" s="7" t="inlineStr">
        <is>
          <t>Pier Asset Mgmt</t>
        </is>
      </c>
    </row>
    <row r="293">
      <c r="A293" s="5" t="inlineStr">
        <is>
          <t>L100288</t>
        </is>
      </c>
      <c r="B293" s="16" t="n">
        <v>219200.06</v>
      </c>
      <c r="C293" s="16" t="n">
        <v>207862.07</v>
      </c>
      <c r="D293" s="26" t="n">
        <v>5.814</v>
      </c>
      <c r="E293" s="6" t="n">
        <v>768</v>
      </c>
      <c r="F293" s="11" t="n">
        <v>72.40000000000001</v>
      </c>
      <c r="G293" s="11" t="n">
        <v>36.6</v>
      </c>
      <c r="H293" s="6" t="n">
        <v>45</v>
      </c>
      <c r="I293" s="6" t="n">
        <v>315</v>
      </c>
      <c r="J293" s="5" t="inlineStr">
        <is>
          <t>TX</t>
        </is>
      </c>
      <c r="K293" s="5" t="inlineStr">
        <is>
          <t>SFR</t>
        </is>
      </c>
      <c r="L293" s="5" t="inlineStr">
        <is>
          <t>Coastal Mortgage Co</t>
        </is>
      </c>
      <c r="M293" s="5" t="inlineStr">
        <is>
          <t>Pier Asset Mgmt</t>
        </is>
      </c>
    </row>
    <row r="294">
      <c r="A294" s="7" t="inlineStr">
        <is>
          <t>L100289</t>
        </is>
      </c>
      <c r="B294" s="8" t="n">
        <v>234164.49</v>
      </c>
      <c r="C294" s="8" t="n">
        <v>214070.4</v>
      </c>
      <c r="D294" s="27" t="n">
        <v>6.822</v>
      </c>
      <c r="E294" s="10" t="n">
        <v>628</v>
      </c>
      <c r="F294" s="12" t="n">
        <v>79</v>
      </c>
      <c r="G294" s="12" t="n">
        <v>29.1</v>
      </c>
      <c r="H294" s="10" t="n">
        <v>25</v>
      </c>
      <c r="I294" s="10" t="n">
        <v>155</v>
      </c>
      <c r="J294" s="7" t="inlineStr">
        <is>
          <t>AZ</t>
        </is>
      </c>
      <c r="K294" s="7" t="inlineStr">
        <is>
          <t>2-4 Unit</t>
        </is>
      </c>
      <c r="L294" s="7" t="inlineStr">
        <is>
          <t>Meridian Home Loans</t>
        </is>
      </c>
      <c r="M294" s="7" t="inlineStr">
        <is>
          <t>Pier Asset Mgmt</t>
        </is>
      </c>
    </row>
    <row r="295">
      <c r="A295" s="5" t="inlineStr">
        <is>
          <t>L100290</t>
        </is>
      </c>
      <c r="B295" s="16" t="n">
        <v>222305.52</v>
      </c>
      <c r="C295" s="16" t="n">
        <v>216181.93</v>
      </c>
      <c r="D295" s="26" t="n">
        <v>6.227</v>
      </c>
      <c r="E295" s="6" t="n">
        <v>740</v>
      </c>
      <c r="F295" s="11" t="n">
        <v>68.7</v>
      </c>
      <c r="G295" s="11" t="n">
        <v>31.6</v>
      </c>
      <c r="H295" s="6" t="n">
        <v>27</v>
      </c>
      <c r="I295" s="6" t="n">
        <v>333</v>
      </c>
      <c r="J295" s="5" t="inlineStr">
        <is>
          <t>IL</t>
        </is>
      </c>
      <c r="K295" s="5" t="inlineStr">
        <is>
          <t>Multifamily</t>
        </is>
      </c>
      <c r="L295" s="5" t="inlineStr">
        <is>
          <t>Meridian Home Loans</t>
        </is>
      </c>
      <c r="M295" s="5" t="inlineStr">
        <is>
          <t>Summit Loan Servicing</t>
        </is>
      </c>
    </row>
    <row r="296">
      <c r="A296" s="7" t="inlineStr">
        <is>
          <t>L100291</t>
        </is>
      </c>
      <c r="B296" s="8" t="n">
        <v>256118.85</v>
      </c>
      <c r="C296" s="8" t="n">
        <v>255940.22</v>
      </c>
      <c r="D296" s="27" t="n">
        <v>7.809</v>
      </c>
      <c r="E296" s="10" t="n">
        <v>778</v>
      </c>
      <c r="F296" s="12" t="n">
        <v>55.1</v>
      </c>
      <c r="G296" s="12" t="n">
        <v>47.9</v>
      </c>
      <c r="H296" s="10" t="n">
        <v>1</v>
      </c>
      <c r="I296" s="10" t="n">
        <v>359</v>
      </c>
      <c r="J296" s="7" t="inlineStr">
        <is>
          <t>OH</t>
        </is>
      </c>
      <c r="K296" s="7" t="inlineStr">
        <is>
          <t>SFR</t>
        </is>
      </c>
      <c r="L296" s="7" t="inlineStr">
        <is>
          <t>Coastal Mortgage Co</t>
        </is>
      </c>
      <c r="M296" s="7" t="inlineStr">
        <is>
          <t>Northgate Servicing</t>
        </is>
      </c>
    </row>
    <row r="297">
      <c r="A297" s="5" t="inlineStr">
        <is>
          <t>L100292</t>
        </is>
      </c>
      <c r="B297" s="16" t="n">
        <v>406371.15</v>
      </c>
      <c r="C297" s="16" t="n">
        <v>374020.12</v>
      </c>
      <c r="D297" s="26" t="n">
        <v>6.024</v>
      </c>
      <c r="E297" s="6" t="n">
        <v>781</v>
      </c>
      <c r="F297" s="11" t="n">
        <v>63.6</v>
      </c>
      <c r="G297" s="11" t="n">
        <v>36.8</v>
      </c>
      <c r="H297" s="6" t="n">
        <v>22</v>
      </c>
      <c r="I297" s="6" t="n">
        <v>158</v>
      </c>
      <c r="J297" s="5" t="inlineStr">
        <is>
          <t>TX</t>
        </is>
      </c>
      <c r="K297" s="5" t="inlineStr">
        <is>
          <t>Multifamily</t>
        </is>
      </c>
      <c r="L297" s="5" t="inlineStr">
        <is>
          <t>Coastal Mortgage Co</t>
        </is>
      </c>
      <c r="M297" s="5" t="inlineStr">
        <is>
          <t>Pier Asset Mgmt</t>
        </is>
      </c>
    </row>
    <row r="298">
      <c r="A298" s="7" t="inlineStr">
        <is>
          <t>L100293</t>
        </is>
      </c>
      <c r="B298" s="8" t="n">
        <v>98880.72</v>
      </c>
      <c r="C298" s="8" t="n">
        <v>95695.63</v>
      </c>
      <c r="D298" s="27" t="n">
        <v>6.561</v>
      </c>
      <c r="E298" s="10" t="n">
        <v>692</v>
      </c>
      <c r="F298" s="12" t="n">
        <v>89.40000000000001</v>
      </c>
      <c r="G298" s="12" t="n">
        <v>31.5</v>
      </c>
      <c r="H298" s="10" t="n">
        <v>33</v>
      </c>
      <c r="I298" s="10" t="n">
        <v>327</v>
      </c>
      <c r="J298" s="7" t="inlineStr">
        <is>
          <t>FL</t>
        </is>
      </c>
      <c r="K298" s="7" t="inlineStr">
        <is>
          <t>2-4 Unit</t>
        </is>
      </c>
      <c r="L298" s="7" t="inlineStr">
        <is>
          <t>Highline Capital</t>
        </is>
      </c>
      <c r="M298" s="7" t="inlineStr">
        <is>
          <t>Pier Asset Mgmt</t>
        </is>
      </c>
    </row>
    <row r="299">
      <c r="A299" s="5" t="inlineStr">
        <is>
          <t>L100294</t>
        </is>
      </c>
      <c r="B299" s="16" t="n">
        <v>223485.63</v>
      </c>
      <c r="C299" s="16" t="n">
        <v>218733.29</v>
      </c>
      <c r="D299" s="26" t="n">
        <v>6.946</v>
      </c>
      <c r="E299" s="6" t="n">
        <v>779</v>
      </c>
      <c r="F299" s="11" t="n">
        <v>74.90000000000001</v>
      </c>
      <c r="G299" s="11" t="n">
        <v>26.8</v>
      </c>
      <c r="H299" s="6" t="n">
        <v>24</v>
      </c>
      <c r="I299" s="6" t="n">
        <v>336</v>
      </c>
      <c r="J299" s="5" t="inlineStr">
        <is>
          <t>NY</t>
        </is>
      </c>
      <c r="K299" s="5" t="inlineStr">
        <is>
          <t>SFR</t>
        </is>
      </c>
      <c r="L299" s="5" t="inlineStr">
        <is>
          <t>Coastal Mortgage Co</t>
        </is>
      </c>
      <c r="M299" s="5" t="inlineStr">
        <is>
          <t>Summit Loan Servicing</t>
        </is>
      </c>
    </row>
    <row r="300">
      <c r="A300" s="7" t="inlineStr">
        <is>
          <t>L100295</t>
        </is>
      </c>
      <c r="B300" s="8" t="n">
        <v>258274.78</v>
      </c>
      <c r="C300" s="8" t="n">
        <v>249701</v>
      </c>
      <c r="D300" s="27" t="n">
        <v>5.613</v>
      </c>
      <c r="E300" s="10" t="n">
        <v>766</v>
      </c>
      <c r="F300" s="12" t="n">
        <v>79.40000000000001</v>
      </c>
      <c r="G300" s="12" t="n">
        <v>21</v>
      </c>
      <c r="H300" s="10" t="n">
        <v>29</v>
      </c>
      <c r="I300" s="10" t="n">
        <v>331</v>
      </c>
      <c r="J300" s="7" t="inlineStr">
        <is>
          <t>IL</t>
        </is>
      </c>
      <c r="K300" s="7" t="inlineStr">
        <is>
          <t>SFR</t>
        </is>
      </c>
      <c r="L300" s="7" t="inlineStr">
        <is>
          <t>Coastal Mortgage Co</t>
        </is>
      </c>
      <c r="M300" s="7" t="inlineStr">
        <is>
          <t>Northgate Servicing</t>
        </is>
      </c>
    </row>
    <row r="301">
      <c r="A301" s="5" t="inlineStr">
        <is>
          <t>L100296</t>
        </is>
      </c>
      <c r="B301" s="16" t="n">
        <v>269304.48</v>
      </c>
      <c r="C301" s="16" t="n">
        <v>258448.74</v>
      </c>
      <c r="D301" s="26" t="n">
        <v>6.334</v>
      </c>
      <c r="E301" s="6" t="n">
        <v>820</v>
      </c>
      <c r="F301" s="11" t="n">
        <v>70.90000000000001</v>
      </c>
      <c r="G301" s="11" t="n">
        <v>26</v>
      </c>
      <c r="H301" s="6" t="n">
        <v>39</v>
      </c>
      <c r="I301" s="6" t="n">
        <v>321</v>
      </c>
      <c r="J301" s="5" t="inlineStr">
        <is>
          <t>NC</t>
        </is>
      </c>
      <c r="K301" s="5" t="inlineStr">
        <is>
          <t>SFR</t>
        </is>
      </c>
      <c r="L301" s="5" t="inlineStr">
        <is>
          <t>Highline Capital</t>
        </is>
      </c>
      <c r="M301" s="5" t="inlineStr">
        <is>
          <t>Pier Asset Mgmt</t>
        </is>
      </c>
    </row>
    <row r="302">
      <c r="A302" s="7" t="inlineStr">
        <is>
          <t>L100297</t>
        </is>
      </c>
      <c r="B302" s="8" t="n">
        <v>213166.73</v>
      </c>
      <c r="C302" s="8" t="n">
        <v>211716.93</v>
      </c>
      <c r="D302" s="27" t="n">
        <v>6.16</v>
      </c>
      <c r="E302" s="10" t="n">
        <v>674</v>
      </c>
      <c r="F302" s="12" t="n">
        <v>66.09999999999999</v>
      </c>
      <c r="G302" s="12" t="n">
        <v>36.9</v>
      </c>
      <c r="H302" s="10" t="n">
        <v>2</v>
      </c>
      <c r="I302" s="10" t="n">
        <v>178</v>
      </c>
      <c r="J302" s="7" t="inlineStr">
        <is>
          <t>FL</t>
        </is>
      </c>
      <c r="K302" s="7" t="inlineStr">
        <is>
          <t>SFR</t>
        </is>
      </c>
      <c r="L302" s="7" t="inlineStr">
        <is>
          <t>Highline Capital</t>
        </is>
      </c>
      <c r="M302" s="7" t="inlineStr">
        <is>
          <t>Pier Asset Mgmt</t>
        </is>
      </c>
    </row>
    <row r="303">
      <c r="A303" s="5" t="inlineStr">
        <is>
          <t>L100298</t>
        </is>
      </c>
      <c r="B303" s="16" t="n">
        <v>131287.83</v>
      </c>
      <c r="C303" s="16" t="n">
        <v>109600.95</v>
      </c>
      <c r="D303" s="26" t="n">
        <v>5.938</v>
      </c>
      <c r="E303" s="6" t="n">
        <v>687</v>
      </c>
      <c r="F303" s="11" t="n">
        <v>94.09999999999999</v>
      </c>
      <c r="G303" s="11" t="n">
        <v>43.8</v>
      </c>
      <c r="H303" s="6" t="n">
        <v>43</v>
      </c>
      <c r="I303" s="6" t="n">
        <v>137</v>
      </c>
      <c r="J303" s="5" t="inlineStr">
        <is>
          <t>AZ</t>
        </is>
      </c>
      <c r="K303" s="5" t="inlineStr">
        <is>
          <t>SFR</t>
        </is>
      </c>
      <c r="L303" s="5" t="inlineStr">
        <is>
          <t>Meridian Home Loans</t>
        </is>
      </c>
      <c r="M303" s="5" t="inlineStr">
        <is>
          <t>Summit Loan Servicing</t>
        </is>
      </c>
    </row>
    <row r="304">
      <c r="A304" s="7" t="inlineStr">
        <is>
          <t>L100299</t>
        </is>
      </c>
      <c r="B304" s="8" t="n">
        <v>272337.78</v>
      </c>
      <c r="C304" s="8" t="n">
        <v>260703.19</v>
      </c>
      <c r="D304" s="27" t="n">
        <v>6.004</v>
      </c>
      <c r="E304" s="10" t="n">
        <v>698</v>
      </c>
      <c r="F304" s="12" t="n">
        <v>71.7</v>
      </c>
      <c r="G304" s="12" t="n">
        <v>31.5</v>
      </c>
      <c r="H304" s="10" t="n">
        <v>39</v>
      </c>
      <c r="I304" s="10" t="n">
        <v>321</v>
      </c>
      <c r="J304" s="7" t="inlineStr">
        <is>
          <t>CA</t>
        </is>
      </c>
      <c r="K304" s="7" t="inlineStr">
        <is>
          <t>SFR</t>
        </is>
      </c>
      <c r="L304" s="7" t="inlineStr">
        <is>
          <t>Meridian Home Loans</t>
        </is>
      </c>
      <c r="M304" s="7" t="inlineStr">
        <is>
          <t>Pier Asset Mgmt</t>
        </is>
      </c>
    </row>
    <row r="305">
      <c r="A305" s="5" t="inlineStr">
        <is>
          <t>L100300</t>
        </is>
      </c>
      <c r="B305" s="16" t="n">
        <v>444440.99</v>
      </c>
      <c r="C305" s="16" t="n">
        <v>415714.71</v>
      </c>
      <c r="D305" s="26" t="n">
        <v>7.401</v>
      </c>
      <c r="E305" s="6" t="n">
        <v>688</v>
      </c>
      <c r="F305" s="11" t="n">
        <v>68.7</v>
      </c>
      <c r="G305" s="11" t="n">
        <v>48.6</v>
      </c>
      <c r="H305" s="6" t="n">
        <v>20</v>
      </c>
      <c r="I305" s="6" t="n">
        <v>160</v>
      </c>
      <c r="J305" s="5" t="inlineStr">
        <is>
          <t>NY</t>
        </is>
      </c>
      <c r="K305" s="5" t="inlineStr">
        <is>
          <t>2-4 Unit</t>
        </is>
      </c>
      <c r="L305" s="5" t="inlineStr">
        <is>
          <t>Meridian Home Loans</t>
        </is>
      </c>
      <c r="M305" s="5" t="inlineStr">
        <is>
          <t>Pier Asset Mgmt</t>
        </is>
      </c>
    </row>
    <row r="306">
      <c r="A306" s="7" t="inlineStr">
        <is>
          <t>L100301</t>
        </is>
      </c>
      <c r="B306" s="8" t="n">
        <v>141938.41</v>
      </c>
      <c r="C306" s="8" t="n">
        <v>136242.64</v>
      </c>
      <c r="D306" s="27" t="n">
        <v>5.861</v>
      </c>
      <c r="E306" s="10" t="n">
        <v>666</v>
      </c>
      <c r="F306" s="12" t="n">
        <v>87.2</v>
      </c>
      <c r="G306" s="12" t="n">
        <v>30.3</v>
      </c>
      <c r="H306" s="10" t="n">
        <v>36</v>
      </c>
      <c r="I306" s="10" t="n">
        <v>324</v>
      </c>
      <c r="J306" s="7" t="inlineStr">
        <is>
          <t>NC</t>
        </is>
      </c>
      <c r="K306" s="7" t="inlineStr">
        <is>
          <t>SFR</t>
        </is>
      </c>
      <c r="L306" s="7" t="inlineStr">
        <is>
          <t>Coastal Mortgage Co</t>
        </is>
      </c>
      <c r="M306" s="7" t="inlineStr">
        <is>
          <t>Summit Loan Servicing</t>
        </is>
      </c>
    </row>
    <row r="307">
      <c r="A307" s="5" t="inlineStr">
        <is>
          <t>L100302</t>
        </is>
      </c>
      <c r="B307" s="16" t="n">
        <v>328515.67</v>
      </c>
      <c r="C307" s="16" t="n">
        <v>327409.76</v>
      </c>
      <c r="D307" s="26" t="n">
        <v>6.91</v>
      </c>
      <c r="E307" s="6" t="n">
        <v>580</v>
      </c>
      <c r="F307" s="11" t="n">
        <v>65.3</v>
      </c>
      <c r="G307" s="11" t="n">
        <v>34.1</v>
      </c>
      <c r="H307" s="6" t="n">
        <v>4</v>
      </c>
      <c r="I307" s="6" t="n">
        <v>356</v>
      </c>
      <c r="J307" s="5" t="inlineStr">
        <is>
          <t>FL</t>
        </is>
      </c>
      <c r="K307" s="5" t="inlineStr">
        <is>
          <t>SFR</t>
        </is>
      </c>
      <c r="L307" s="5" t="inlineStr">
        <is>
          <t>Apex Funding</t>
        </is>
      </c>
      <c r="M307" s="5" t="inlineStr">
        <is>
          <t>Summit Loan Servicing</t>
        </is>
      </c>
    </row>
    <row r="308">
      <c r="A308" s="7" t="inlineStr">
        <is>
          <t>L100303</t>
        </is>
      </c>
      <c r="B308" s="8" t="n">
        <v>216428.64</v>
      </c>
      <c r="C308" s="8" t="n">
        <v>213483.54</v>
      </c>
      <c r="D308" s="27" t="n">
        <v>6.683</v>
      </c>
      <c r="E308" s="10" t="n">
        <v>691</v>
      </c>
      <c r="F308" s="12" t="n">
        <v>66.90000000000001</v>
      </c>
      <c r="G308" s="12" t="n">
        <v>27.4</v>
      </c>
      <c r="H308" s="10" t="n">
        <v>15</v>
      </c>
      <c r="I308" s="10" t="n">
        <v>345</v>
      </c>
      <c r="J308" s="7" t="inlineStr">
        <is>
          <t>IL</t>
        </is>
      </c>
      <c r="K308" s="7" t="inlineStr">
        <is>
          <t>Multifamily</t>
        </is>
      </c>
      <c r="L308" s="7" t="inlineStr">
        <is>
          <t>Coastal Mortgage Co</t>
        </is>
      </c>
      <c r="M308" s="7" t="inlineStr">
        <is>
          <t>Summit Loan Servicing</t>
        </is>
      </c>
    </row>
    <row r="309">
      <c r="A309" s="5" t="inlineStr">
        <is>
          <t>L100304</t>
        </is>
      </c>
      <c r="B309" s="16" t="n">
        <v>237645.77</v>
      </c>
      <c r="C309" s="16" t="n">
        <v>235959.35</v>
      </c>
      <c r="D309" s="26" t="n">
        <v>5.143</v>
      </c>
      <c r="E309" s="6" t="n">
        <v>735</v>
      </c>
      <c r="F309" s="11" t="n">
        <v>74.09999999999999</v>
      </c>
      <c r="G309" s="11" t="n">
        <v>43.9</v>
      </c>
      <c r="H309" s="6" t="n">
        <v>6</v>
      </c>
      <c r="I309" s="6" t="n">
        <v>354</v>
      </c>
      <c r="J309" s="5" t="inlineStr">
        <is>
          <t>NC</t>
        </is>
      </c>
      <c r="K309" s="5" t="inlineStr">
        <is>
          <t>Multifamily</t>
        </is>
      </c>
      <c r="L309" s="5" t="inlineStr">
        <is>
          <t>Meridian Home Loans</t>
        </is>
      </c>
      <c r="M309" s="5" t="inlineStr">
        <is>
          <t>Summit Loan Servicing</t>
        </is>
      </c>
    </row>
    <row r="310">
      <c r="A310" s="7" t="inlineStr">
        <is>
          <t>L100305</t>
        </is>
      </c>
      <c r="B310" s="8" t="n">
        <v>167960.74</v>
      </c>
      <c r="C310" s="8" t="n">
        <v>163349.5</v>
      </c>
      <c r="D310" s="27" t="n">
        <v>6.867</v>
      </c>
      <c r="E310" s="10" t="n">
        <v>688</v>
      </c>
      <c r="F310" s="12" t="n">
        <v>74</v>
      </c>
      <c r="G310" s="12" t="n">
        <v>52.8</v>
      </c>
      <c r="H310" s="10" t="n">
        <v>30</v>
      </c>
      <c r="I310" s="10" t="n">
        <v>330</v>
      </c>
      <c r="J310" s="7" t="inlineStr">
        <is>
          <t>FL</t>
        </is>
      </c>
      <c r="K310" s="7" t="inlineStr">
        <is>
          <t>Condo</t>
        </is>
      </c>
      <c r="L310" s="7" t="inlineStr">
        <is>
          <t>Meridian Home Loans</t>
        </is>
      </c>
      <c r="M310" s="7" t="inlineStr">
        <is>
          <t>Pier Asset Mgmt</t>
        </is>
      </c>
    </row>
    <row r="311">
      <c r="A311" s="5" t="inlineStr">
        <is>
          <t>L100306</t>
        </is>
      </c>
      <c r="B311" s="16" t="n">
        <v>215979.84</v>
      </c>
      <c r="C311" s="16" t="n">
        <v>204649.89</v>
      </c>
      <c r="D311" s="26" t="n">
        <v>5.128</v>
      </c>
      <c r="E311" s="6" t="n">
        <v>820</v>
      </c>
      <c r="F311" s="11" t="n">
        <v>77.09999999999999</v>
      </c>
      <c r="G311" s="11" t="n">
        <v>21.9</v>
      </c>
      <c r="H311" s="6" t="n">
        <v>41</v>
      </c>
      <c r="I311" s="6" t="n">
        <v>319</v>
      </c>
      <c r="J311" s="5" t="inlineStr">
        <is>
          <t>WA</t>
        </is>
      </c>
      <c r="K311" s="5" t="inlineStr">
        <is>
          <t>Condo</t>
        </is>
      </c>
      <c r="L311" s="5" t="inlineStr">
        <is>
          <t>Apex Funding</t>
        </is>
      </c>
      <c r="M311" s="5" t="inlineStr">
        <is>
          <t>Northgate Servicing</t>
        </is>
      </c>
    </row>
    <row r="312">
      <c r="A312" s="7" t="inlineStr">
        <is>
          <t>L100307</t>
        </is>
      </c>
      <c r="B312" s="8" t="n">
        <v>382703.42</v>
      </c>
      <c r="C312" s="8" t="n">
        <v>344573.08</v>
      </c>
      <c r="D312" s="27" t="n">
        <v>6.965</v>
      </c>
      <c r="E312" s="10" t="n">
        <v>716</v>
      </c>
      <c r="F312" s="12" t="n">
        <v>97</v>
      </c>
      <c r="G312" s="12" t="n">
        <v>33.2</v>
      </c>
      <c r="H312" s="10" t="n">
        <v>29</v>
      </c>
      <c r="I312" s="10" t="n">
        <v>151</v>
      </c>
      <c r="J312" s="7" t="inlineStr">
        <is>
          <t>OH</t>
        </is>
      </c>
      <c r="K312" s="7" t="inlineStr">
        <is>
          <t>Multifamily</t>
        </is>
      </c>
      <c r="L312" s="7" t="inlineStr">
        <is>
          <t>Coastal Mortgage Co</t>
        </is>
      </c>
      <c r="M312" s="7" t="inlineStr">
        <is>
          <t>Pier Asset Mgmt</t>
        </is>
      </c>
    </row>
    <row r="313">
      <c r="A313" s="5" t="inlineStr">
        <is>
          <t>L100308</t>
        </is>
      </c>
      <c r="B313" s="16" t="n">
        <v>297726.14</v>
      </c>
      <c r="C313" s="16" t="n">
        <v>286662.33</v>
      </c>
      <c r="D313" s="26" t="n">
        <v>5.944</v>
      </c>
      <c r="E313" s="6" t="n">
        <v>786</v>
      </c>
      <c r="F313" s="11" t="n">
        <v>78</v>
      </c>
      <c r="G313" s="11" t="n">
        <v>46.1</v>
      </c>
      <c r="H313" s="6" t="n">
        <v>34</v>
      </c>
      <c r="I313" s="6" t="n">
        <v>326</v>
      </c>
      <c r="J313" s="5" t="inlineStr">
        <is>
          <t>WA</t>
        </is>
      </c>
      <c r="K313" s="5" t="inlineStr">
        <is>
          <t>SFR</t>
        </is>
      </c>
      <c r="L313" s="5" t="inlineStr">
        <is>
          <t>Meridian Home Loans</t>
        </is>
      </c>
      <c r="M313" s="5" t="inlineStr">
        <is>
          <t>Summit Loan Servicing</t>
        </is>
      </c>
    </row>
    <row r="314">
      <c r="A314" s="7" t="inlineStr">
        <is>
          <t>L100309</t>
        </is>
      </c>
      <c r="B314" s="8" t="n">
        <v>445213.43</v>
      </c>
      <c r="C314" s="8" t="n">
        <v>442298.97</v>
      </c>
      <c r="D314" s="27" t="n">
        <v>6.408</v>
      </c>
      <c r="E314" s="10" t="n">
        <v>729</v>
      </c>
      <c r="F314" s="12" t="n">
        <v>45.5</v>
      </c>
      <c r="G314" s="12" t="n">
        <v>24.4</v>
      </c>
      <c r="H314" s="10" t="n">
        <v>7</v>
      </c>
      <c r="I314" s="10" t="n">
        <v>353</v>
      </c>
      <c r="J314" s="7" t="inlineStr">
        <is>
          <t>IL</t>
        </is>
      </c>
      <c r="K314" s="7" t="inlineStr">
        <is>
          <t>2-4 Unit</t>
        </is>
      </c>
      <c r="L314" s="7" t="inlineStr">
        <is>
          <t>Apex Funding</t>
        </is>
      </c>
      <c r="M314" s="7" t="inlineStr">
        <is>
          <t>Northgate Servicing</t>
        </is>
      </c>
    </row>
    <row r="315">
      <c r="A315" s="5" t="inlineStr">
        <is>
          <t>L100310</t>
        </is>
      </c>
      <c r="B315" s="16" t="n">
        <v>366624.76</v>
      </c>
      <c r="C315" s="16" t="n">
        <v>346217.93</v>
      </c>
      <c r="D315" s="26" t="n">
        <v>5.235</v>
      </c>
      <c r="E315" s="6" t="n">
        <v>760</v>
      </c>
      <c r="F315" s="11" t="n">
        <v>77.90000000000001</v>
      </c>
      <c r="G315" s="11" t="n">
        <v>40.5</v>
      </c>
      <c r="H315" s="6" t="n">
        <v>44</v>
      </c>
      <c r="I315" s="6" t="n">
        <v>316</v>
      </c>
      <c r="J315" s="5" t="inlineStr">
        <is>
          <t>NY</t>
        </is>
      </c>
      <c r="K315" s="5" t="inlineStr">
        <is>
          <t>SFR</t>
        </is>
      </c>
      <c r="L315" s="5" t="inlineStr">
        <is>
          <t>Apex Funding</t>
        </is>
      </c>
      <c r="M315" s="5" t="inlineStr">
        <is>
          <t>Pier Asset Mgmt</t>
        </is>
      </c>
    </row>
    <row r="316">
      <c r="A316" s="7" t="inlineStr">
        <is>
          <t>L100311</t>
        </is>
      </c>
      <c r="B316" s="8" t="n">
        <v>283135.35</v>
      </c>
      <c r="C316" s="8" t="n">
        <v>280517.46</v>
      </c>
      <c r="D316" s="27" t="n">
        <v>6.51</v>
      </c>
      <c r="E316" s="10" t="n">
        <v>730</v>
      </c>
      <c r="F316" s="12" t="n">
        <v>74.5</v>
      </c>
      <c r="G316" s="12" t="n">
        <v>45.8</v>
      </c>
      <c r="H316" s="10" t="n">
        <v>10</v>
      </c>
      <c r="I316" s="10" t="n">
        <v>350</v>
      </c>
      <c r="J316" s="7" t="inlineStr">
        <is>
          <t>WA</t>
        </is>
      </c>
      <c r="K316" s="7" t="inlineStr">
        <is>
          <t>SFR</t>
        </is>
      </c>
      <c r="L316" s="7" t="inlineStr">
        <is>
          <t>Coastal Mortgage Co</t>
        </is>
      </c>
      <c r="M316" s="7" t="inlineStr">
        <is>
          <t>Pier Asset Mgmt</t>
        </is>
      </c>
    </row>
    <row r="317">
      <c r="A317" s="5" t="inlineStr">
        <is>
          <t>L100312</t>
        </is>
      </c>
      <c r="B317" s="16" t="n">
        <v>447028.26</v>
      </c>
      <c r="C317" s="16" t="n">
        <v>437619.45</v>
      </c>
      <c r="D317" s="26" t="n">
        <v>7.234</v>
      </c>
      <c r="E317" s="6" t="n">
        <v>790</v>
      </c>
      <c r="F317" s="11" t="n">
        <v>74.5</v>
      </c>
      <c r="G317" s="11" t="n">
        <v>36.6</v>
      </c>
      <c r="H317" s="6" t="n">
        <v>25</v>
      </c>
      <c r="I317" s="6" t="n">
        <v>335</v>
      </c>
      <c r="J317" s="5" t="inlineStr">
        <is>
          <t>AZ</t>
        </is>
      </c>
      <c r="K317" s="5" t="inlineStr">
        <is>
          <t>SFR</t>
        </is>
      </c>
      <c r="L317" s="5" t="inlineStr">
        <is>
          <t>Highline Capital</t>
        </is>
      </c>
      <c r="M317" s="5" t="inlineStr">
        <is>
          <t>Summit Loan Servicing</t>
        </is>
      </c>
    </row>
    <row r="318">
      <c r="A318" s="7" t="inlineStr">
        <is>
          <t>L100313</t>
        </is>
      </c>
      <c r="B318" s="8" t="n">
        <v>283126.08</v>
      </c>
      <c r="C318" s="8" t="n">
        <v>272443.16</v>
      </c>
      <c r="D318" s="27" t="n">
        <v>5.674</v>
      </c>
      <c r="E318" s="10" t="n">
        <v>718</v>
      </c>
      <c r="F318" s="12" t="n">
        <v>77</v>
      </c>
      <c r="G318" s="12" t="n">
        <v>40.4</v>
      </c>
      <c r="H318" s="10" t="n">
        <v>33</v>
      </c>
      <c r="I318" s="10" t="n">
        <v>327</v>
      </c>
      <c r="J318" s="7" t="inlineStr">
        <is>
          <t>AZ</t>
        </is>
      </c>
      <c r="K318" s="7" t="inlineStr">
        <is>
          <t>SFR</t>
        </is>
      </c>
      <c r="L318" s="7" t="inlineStr">
        <is>
          <t>Highline Capital</t>
        </is>
      </c>
      <c r="M318" s="7" t="inlineStr">
        <is>
          <t>Northgate Servicing</t>
        </is>
      </c>
    </row>
    <row r="319">
      <c r="A319" s="5" t="inlineStr">
        <is>
          <t>L100314</t>
        </is>
      </c>
      <c r="B319" s="16" t="n">
        <v>324420.52</v>
      </c>
      <c r="C319" s="16" t="n">
        <v>309388.26</v>
      </c>
      <c r="D319" s="26" t="n">
        <v>5.854</v>
      </c>
      <c r="E319" s="6" t="n">
        <v>742</v>
      </c>
      <c r="F319" s="11" t="n">
        <v>73.7</v>
      </c>
      <c r="G319" s="11" t="n">
        <v>50.1</v>
      </c>
      <c r="H319" s="6" t="n">
        <v>41</v>
      </c>
      <c r="I319" s="6" t="n">
        <v>319</v>
      </c>
      <c r="J319" s="5" t="inlineStr">
        <is>
          <t>TX</t>
        </is>
      </c>
      <c r="K319" s="5" t="inlineStr">
        <is>
          <t>SFR</t>
        </is>
      </c>
      <c r="L319" s="5" t="inlineStr">
        <is>
          <t>Meridian Home Loans</t>
        </is>
      </c>
      <c r="M319" s="5" t="inlineStr">
        <is>
          <t>Northgate Servicing</t>
        </is>
      </c>
    </row>
    <row r="320">
      <c r="A320" s="7" t="inlineStr">
        <is>
          <t>L100315</t>
        </is>
      </c>
      <c r="B320" s="8" t="n">
        <v>218862.76</v>
      </c>
      <c r="C320" s="8" t="n">
        <v>209582.77</v>
      </c>
      <c r="D320" s="27" t="n">
        <v>6.809</v>
      </c>
      <c r="E320" s="10" t="n">
        <v>735</v>
      </c>
      <c r="F320" s="12" t="n">
        <v>73.40000000000001</v>
      </c>
      <c r="G320" s="12" t="n">
        <v>51.6</v>
      </c>
      <c r="H320" s="10" t="n">
        <v>44</v>
      </c>
      <c r="I320" s="10" t="n">
        <v>316</v>
      </c>
      <c r="J320" s="7" t="inlineStr">
        <is>
          <t>OH</t>
        </is>
      </c>
      <c r="K320" s="7" t="inlineStr">
        <is>
          <t>SFR</t>
        </is>
      </c>
      <c r="L320" s="7" t="inlineStr">
        <is>
          <t>Highline Capital</t>
        </is>
      </c>
      <c r="M320" s="7" t="inlineStr">
        <is>
          <t>Northgate Servicing</t>
        </is>
      </c>
    </row>
    <row r="321">
      <c r="A321" s="5" t="inlineStr">
        <is>
          <t>L100316</t>
        </is>
      </c>
      <c r="B321" s="16" t="n">
        <v>248523.09</v>
      </c>
      <c r="C321" s="16" t="n">
        <v>223514.04</v>
      </c>
      <c r="D321" s="26" t="n">
        <v>6.832</v>
      </c>
      <c r="E321" s="6" t="n">
        <v>699</v>
      </c>
      <c r="F321" s="11" t="n">
        <v>81.40000000000001</v>
      </c>
      <c r="G321" s="11" t="n">
        <v>35.5</v>
      </c>
      <c r="H321" s="6" t="n">
        <v>29</v>
      </c>
      <c r="I321" s="6" t="n">
        <v>151</v>
      </c>
      <c r="J321" s="5" t="inlineStr">
        <is>
          <t>GA</t>
        </is>
      </c>
      <c r="K321" s="5" t="inlineStr">
        <is>
          <t>SFR</t>
        </is>
      </c>
      <c r="L321" s="5" t="inlineStr">
        <is>
          <t>Meridian Home Loans</t>
        </is>
      </c>
      <c r="M321" s="5" t="inlineStr">
        <is>
          <t>Northgate Servicing</t>
        </is>
      </c>
    </row>
    <row r="322">
      <c r="A322" s="7" t="inlineStr">
        <is>
          <t>L100317</t>
        </is>
      </c>
      <c r="B322" s="8" t="n">
        <v>190213.36</v>
      </c>
      <c r="C322" s="8" t="n">
        <v>182460.4</v>
      </c>
      <c r="D322" s="27" t="n">
        <v>4.209</v>
      </c>
      <c r="E322" s="10" t="n">
        <v>737</v>
      </c>
      <c r="F322" s="12" t="n">
        <v>67.5</v>
      </c>
      <c r="G322" s="12" t="n">
        <v>31.7</v>
      </c>
      <c r="H322" s="10" t="n">
        <v>28</v>
      </c>
      <c r="I322" s="10" t="n">
        <v>332</v>
      </c>
      <c r="J322" s="7" t="inlineStr">
        <is>
          <t>AZ</t>
        </is>
      </c>
      <c r="K322" s="7" t="inlineStr">
        <is>
          <t>SFR</t>
        </is>
      </c>
      <c r="L322" s="7" t="inlineStr">
        <is>
          <t>Coastal Mortgage Co</t>
        </is>
      </c>
      <c r="M322" s="7" t="inlineStr">
        <is>
          <t>Northgate Servicing</t>
        </is>
      </c>
    </row>
    <row r="323">
      <c r="A323" s="5" t="inlineStr">
        <is>
          <t>L100318</t>
        </is>
      </c>
      <c r="B323" s="16" t="n">
        <v>343298.08</v>
      </c>
      <c r="C323" s="16" t="n">
        <v>338588.64</v>
      </c>
      <c r="D323" s="26" t="n">
        <v>8.214</v>
      </c>
      <c r="E323" s="6" t="n">
        <v>820</v>
      </c>
      <c r="F323" s="11" t="n">
        <v>62.6</v>
      </c>
      <c r="G323" s="11" t="n">
        <v>28.6</v>
      </c>
      <c r="H323" s="6" t="n">
        <v>20</v>
      </c>
      <c r="I323" s="6" t="n">
        <v>340</v>
      </c>
      <c r="J323" s="5" t="inlineStr">
        <is>
          <t>OH</t>
        </is>
      </c>
      <c r="K323" s="5" t="inlineStr">
        <is>
          <t>SFR</t>
        </is>
      </c>
      <c r="L323" s="5" t="inlineStr">
        <is>
          <t>Highline Capital</t>
        </is>
      </c>
      <c r="M323" s="5" t="inlineStr">
        <is>
          <t>Pier Asset Mgmt</t>
        </is>
      </c>
    </row>
    <row r="324">
      <c r="A324" s="7" t="inlineStr">
        <is>
          <t>L100319</t>
        </is>
      </c>
      <c r="B324" s="8" t="n">
        <v>160748.09</v>
      </c>
      <c r="C324" s="8" t="n">
        <v>145824.75</v>
      </c>
      <c r="D324" s="27" t="n">
        <v>6.876</v>
      </c>
      <c r="E324" s="10" t="n">
        <v>700</v>
      </c>
      <c r="F324" s="12" t="n">
        <v>97</v>
      </c>
      <c r="G324" s="12" t="n">
        <v>43.8</v>
      </c>
      <c r="H324" s="10" t="n">
        <v>27</v>
      </c>
      <c r="I324" s="10" t="n">
        <v>153</v>
      </c>
      <c r="J324" s="7" t="inlineStr">
        <is>
          <t>TX</t>
        </is>
      </c>
      <c r="K324" s="7" t="inlineStr">
        <is>
          <t>2-4 Unit</t>
        </is>
      </c>
      <c r="L324" s="7" t="inlineStr">
        <is>
          <t>Highline Capital</t>
        </is>
      </c>
      <c r="M324" s="7" t="inlineStr">
        <is>
          <t>Summit Loan Servicing</t>
        </is>
      </c>
    </row>
    <row r="325">
      <c r="A325" s="5" t="inlineStr">
        <is>
          <t>L100320</t>
        </is>
      </c>
      <c r="B325" s="16" t="n">
        <v>319279.64</v>
      </c>
      <c r="C325" s="16" t="n">
        <v>310147.1</v>
      </c>
      <c r="D325" s="26" t="n">
        <v>7.027</v>
      </c>
      <c r="E325" s="6" t="n">
        <v>738</v>
      </c>
      <c r="F325" s="11" t="n">
        <v>65.40000000000001</v>
      </c>
      <c r="G325" s="11" t="n">
        <v>25</v>
      </c>
      <c r="H325" s="6" t="n">
        <v>32</v>
      </c>
      <c r="I325" s="6" t="n">
        <v>328</v>
      </c>
      <c r="J325" s="5" t="inlineStr">
        <is>
          <t>CA</t>
        </is>
      </c>
      <c r="K325" s="5" t="inlineStr">
        <is>
          <t>SFR</t>
        </is>
      </c>
      <c r="L325" s="5" t="inlineStr">
        <is>
          <t>Meridian Home Loans</t>
        </is>
      </c>
      <c r="M325" s="5" t="inlineStr">
        <is>
          <t>Summit Loan Servicing</t>
        </is>
      </c>
    </row>
    <row r="326">
      <c r="A326" s="7" t="inlineStr">
        <is>
          <t>L100321</t>
        </is>
      </c>
      <c r="B326" s="8" t="n">
        <v>227128.71</v>
      </c>
      <c r="C326" s="8" t="n">
        <v>219926.04</v>
      </c>
      <c r="D326" s="27" t="n">
        <v>6.271</v>
      </c>
      <c r="E326" s="10" t="n">
        <v>784</v>
      </c>
      <c r="F326" s="12" t="n">
        <v>75.2</v>
      </c>
      <c r="G326" s="12" t="n">
        <v>34</v>
      </c>
      <c r="H326" s="10" t="n">
        <v>31</v>
      </c>
      <c r="I326" s="10" t="n">
        <v>329</v>
      </c>
      <c r="J326" s="7" t="inlineStr">
        <is>
          <t>CA</t>
        </is>
      </c>
      <c r="K326" s="7" t="inlineStr">
        <is>
          <t>Condo</t>
        </is>
      </c>
      <c r="L326" s="7" t="inlineStr">
        <is>
          <t>Meridian Home Loans</t>
        </is>
      </c>
      <c r="M326" s="7" t="inlineStr">
        <is>
          <t>Northgate Servicing</t>
        </is>
      </c>
    </row>
    <row r="327">
      <c r="A327" s="5" t="inlineStr">
        <is>
          <t>L100322</t>
        </is>
      </c>
      <c r="B327" s="16" t="n">
        <v>365834.56</v>
      </c>
      <c r="C327" s="16" t="n">
        <v>352187.26</v>
      </c>
      <c r="D327" s="26" t="n">
        <v>4.73</v>
      </c>
      <c r="E327" s="6" t="n">
        <v>778</v>
      </c>
      <c r="F327" s="11" t="n">
        <v>56.1</v>
      </c>
      <c r="G327" s="11" t="n">
        <v>36.8</v>
      </c>
      <c r="H327" s="6" t="n">
        <v>28</v>
      </c>
      <c r="I327" s="6" t="n">
        <v>332</v>
      </c>
      <c r="J327" s="5" t="inlineStr">
        <is>
          <t>NC</t>
        </is>
      </c>
      <c r="K327" s="5" t="inlineStr">
        <is>
          <t>SFR</t>
        </is>
      </c>
      <c r="L327" s="5" t="inlineStr">
        <is>
          <t>Meridian Home Loans</t>
        </is>
      </c>
      <c r="M327" s="5" t="inlineStr">
        <is>
          <t>Northgate Servicing</t>
        </is>
      </c>
    </row>
    <row r="328">
      <c r="A328" s="7" t="inlineStr">
        <is>
          <t>L100323</t>
        </is>
      </c>
      <c r="B328" s="8" t="n">
        <v>315780.98</v>
      </c>
      <c r="C328" s="8" t="n">
        <v>310023.78</v>
      </c>
      <c r="D328" s="27" t="n">
        <v>7.007</v>
      </c>
      <c r="E328" s="10" t="n">
        <v>716</v>
      </c>
      <c r="F328" s="12" t="n">
        <v>75.40000000000001</v>
      </c>
      <c r="G328" s="12" t="n">
        <v>32</v>
      </c>
      <c r="H328" s="10" t="n">
        <v>21</v>
      </c>
      <c r="I328" s="10" t="n">
        <v>339</v>
      </c>
      <c r="J328" s="7" t="inlineStr">
        <is>
          <t>WA</t>
        </is>
      </c>
      <c r="K328" s="7" t="inlineStr">
        <is>
          <t>2-4 Unit</t>
        </is>
      </c>
      <c r="L328" s="7" t="inlineStr">
        <is>
          <t>Coastal Mortgage Co</t>
        </is>
      </c>
      <c r="M328" s="7" t="inlineStr">
        <is>
          <t>Pier Asset Mgmt</t>
        </is>
      </c>
    </row>
    <row r="329">
      <c r="A329" s="5" t="inlineStr">
        <is>
          <t>L100324</t>
        </is>
      </c>
      <c r="B329" s="16" t="n">
        <v>459193.13</v>
      </c>
      <c r="C329" s="16" t="n">
        <v>454421.23</v>
      </c>
      <c r="D329" s="26" t="n">
        <v>5.891</v>
      </c>
      <c r="E329" s="6" t="n">
        <v>584</v>
      </c>
      <c r="F329" s="11" t="n">
        <v>62.8</v>
      </c>
      <c r="G329" s="11" t="n">
        <v>38.2</v>
      </c>
      <c r="H329" s="6" t="n">
        <v>10</v>
      </c>
      <c r="I329" s="6" t="n">
        <v>350</v>
      </c>
      <c r="J329" s="5" t="inlineStr">
        <is>
          <t>CA</t>
        </is>
      </c>
      <c r="K329" s="5" t="inlineStr">
        <is>
          <t>SFR</t>
        </is>
      </c>
      <c r="L329" s="5" t="inlineStr">
        <is>
          <t>Coastal Mortgage Co</t>
        </is>
      </c>
      <c r="M329" s="5" t="inlineStr">
        <is>
          <t>Pier Asset Mgmt</t>
        </is>
      </c>
    </row>
    <row r="330">
      <c r="A330" s="7" t="inlineStr">
        <is>
          <t>L100325</t>
        </is>
      </c>
      <c r="B330" s="8" t="n">
        <v>313567.88</v>
      </c>
      <c r="C330" s="8" t="n">
        <v>312775.37</v>
      </c>
      <c r="D330" s="27" t="n">
        <v>6.89</v>
      </c>
      <c r="E330" s="10" t="n">
        <v>743</v>
      </c>
      <c r="F330" s="12" t="n">
        <v>68.7</v>
      </c>
      <c r="G330" s="12" t="n">
        <v>55</v>
      </c>
      <c r="H330" s="10" t="n">
        <v>3</v>
      </c>
      <c r="I330" s="10" t="n">
        <v>357</v>
      </c>
      <c r="J330" s="7" t="inlineStr">
        <is>
          <t>TX</t>
        </is>
      </c>
      <c r="K330" s="7" t="inlineStr">
        <is>
          <t>SFR</t>
        </is>
      </c>
      <c r="L330" s="7" t="inlineStr">
        <is>
          <t>Coastal Mortgage Co</t>
        </is>
      </c>
      <c r="M330" s="7" t="inlineStr">
        <is>
          <t>Summit Loan Servicing</t>
        </is>
      </c>
    </row>
    <row r="331">
      <c r="A331" s="5" t="inlineStr">
        <is>
          <t>L100326</t>
        </is>
      </c>
      <c r="B331" s="16" t="n">
        <v>140054.36</v>
      </c>
      <c r="C331" s="16" t="n">
        <v>137236.52</v>
      </c>
      <c r="D331" s="26" t="n">
        <v>6.203</v>
      </c>
      <c r="E331" s="6" t="n">
        <v>593</v>
      </c>
      <c r="F331" s="11" t="n">
        <v>86.5</v>
      </c>
      <c r="G331" s="11" t="n">
        <v>35</v>
      </c>
      <c r="H331" s="6" t="n">
        <v>20</v>
      </c>
      <c r="I331" s="6" t="n">
        <v>340</v>
      </c>
      <c r="J331" s="5" t="inlineStr">
        <is>
          <t>IL</t>
        </is>
      </c>
      <c r="K331" s="5" t="inlineStr">
        <is>
          <t>SFR</t>
        </is>
      </c>
      <c r="L331" s="5" t="inlineStr">
        <is>
          <t>Coastal Mortgage Co</t>
        </is>
      </c>
      <c r="M331" s="5" t="inlineStr">
        <is>
          <t>Northgate Servicing</t>
        </is>
      </c>
    </row>
    <row r="332">
      <c r="A332" s="7" t="inlineStr">
        <is>
          <t>L100327</t>
        </is>
      </c>
      <c r="B332" s="8" t="n">
        <v>237178.05</v>
      </c>
      <c r="C332" s="8" t="n">
        <v>232989.67</v>
      </c>
      <c r="D332" s="27" t="n">
        <v>6.614</v>
      </c>
      <c r="E332" s="10" t="n">
        <v>796</v>
      </c>
      <c r="F332" s="12" t="n">
        <v>79.7</v>
      </c>
      <c r="G332" s="12" t="n">
        <v>32.5</v>
      </c>
      <c r="H332" s="10" t="n">
        <v>19</v>
      </c>
      <c r="I332" s="10" t="n">
        <v>341</v>
      </c>
      <c r="J332" s="7" t="inlineStr">
        <is>
          <t>NY</t>
        </is>
      </c>
      <c r="K332" s="7" t="inlineStr">
        <is>
          <t>Multifamily</t>
        </is>
      </c>
      <c r="L332" s="7" t="inlineStr">
        <is>
          <t>Apex Funding</t>
        </is>
      </c>
      <c r="M332" s="7" t="inlineStr">
        <is>
          <t>Pier Asset Mgmt</t>
        </is>
      </c>
    </row>
    <row r="333">
      <c r="A333" s="5" t="inlineStr">
        <is>
          <t>L100328</t>
        </is>
      </c>
      <c r="B333" s="16" t="n">
        <v>161102.72</v>
      </c>
      <c r="C333" s="16" t="n">
        <v>155839.34</v>
      </c>
      <c r="D333" s="26" t="n">
        <v>5.703</v>
      </c>
      <c r="E333" s="6" t="n">
        <v>724</v>
      </c>
      <c r="F333" s="11" t="n">
        <v>80.8</v>
      </c>
      <c r="G333" s="11" t="n">
        <v>44.1</v>
      </c>
      <c r="H333" s="6" t="n">
        <v>29</v>
      </c>
      <c r="I333" s="6" t="n">
        <v>331</v>
      </c>
      <c r="J333" s="5" t="inlineStr">
        <is>
          <t>TX</t>
        </is>
      </c>
      <c r="K333" s="5" t="inlineStr">
        <is>
          <t>Multifamily</t>
        </is>
      </c>
      <c r="L333" s="5" t="inlineStr">
        <is>
          <t>Highline Capital</t>
        </is>
      </c>
      <c r="M333" s="5" t="inlineStr">
        <is>
          <t>Pier Asset Mgmt</t>
        </is>
      </c>
    </row>
    <row r="334">
      <c r="A334" s="7" t="inlineStr">
        <is>
          <t>L100329</t>
        </is>
      </c>
      <c r="B334" s="8" t="n">
        <v>202521.65</v>
      </c>
      <c r="C334" s="8" t="n">
        <v>194689.57</v>
      </c>
      <c r="D334" s="27" t="n">
        <v>7.178</v>
      </c>
      <c r="E334" s="10" t="n">
        <v>770</v>
      </c>
      <c r="F334" s="12" t="n">
        <v>52.7</v>
      </c>
      <c r="G334" s="12" t="n">
        <v>37.9</v>
      </c>
      <c r="H334" s="10" t="n">
        <v>43</v>
      </c>
      <c r="I334" s="10" t="n">
        <v>317</v>
      </c>
      <c r="J334" s="7" t="inlineStr">
        <is>
          <t>NC</t>
        </is>
      </c>
      <c r="K334" s="7" t="inlineStr">
        <is>
          <t>Condo</t>
        </is>
      </c>
      <c r="L334" s="7" t="inlineStr">
        <is>
          <t>Apex Funding</t>
        </is>
      </c>
      <c r="M334" s="7" t="inlineStr">
        <is>
          <t>Pier Asset Mgmt</t>
        </is>
      </c>
    </row>
    <row r="335">
      <c r="A335" s="5" t="inlineStr">
        <is>
          <t>L100330</t>
        </is>
      </c>
      <c r="B335" s="16" t="n">
        <v>412062.35</v>
      </c>
      <c r="C335" s="16" t="n">
        <v>395552.36</v>
      </c>
      <c r="D335" s="26" t="n">
        <v>5.33</v>
      </c>
      <c r="E335" s="6" t="n">
        <v>665</v>
      </c>
      <c r="F335" s="11" t="n">
        <v>96</v>
      </c>
      <c r="G335" s="11" t="n">
        <v>47.5</v>
      </c>
      <c r="H335" s="6" t="n">
        <v>33</v>
      </c>
      <c r="I335" s="6" t="n">
        <v>327</v>
      </c>
      <c r="J335" s="5" t="inlineStr">
        <is>
          <t>WA</t>
        </is>
      </c>
      <c r="K335" s="5" t="inlineStr">
        <is>
          <t>Condo</t>
        </is>
      </c>
      <c r="L335" s="5" t="inlineStr">
        <is>
          <t>Coastal Mortgage Co</t>
        </is>
      </c>
      <c r="M335" s="5" t="inlineStr">
        <is>
          <t>Northgate Servicing</t>
        </is>
      </c>
    </row>
    <row r="336">
      <c r="A336" s="7" t="inlineStr">
        <is>
          <t>L100331</t>
        </is>
      </c>
      <c r="B336" s="8" t="n">
        <v>303499.98</v>
      </c>
      <c r="C336" s="8" t="n">
        <v>295394.4</v>
      </c>
      <c r="D336" s="27" t="n">
        <v>8.420999999999999</v>
      </c>
      <c r="E336" s="10" t="n">
        <v>630</v>
      </c>
      <c r="F336" s="12" t="n">
        <v>59.7</v>
      </c>
      <c r="G336" s="12" t="n">
        <v>37.3</v>
      </c>
      <c r="H336" s="10" t="n">
        <v>38</v>
      </c>
      <c r="I336" s="10" t="n">
        <v>322</v>
      </c>
      <c r="J336" s="7" t="inlineStr">
        <is>
          <t>FL</t>
        </is>
      </c>
      <c r="K336" s="7" t="inlineStr">
        <is>
          <t>SFR</t>
        </is>
      </c>
      <c r="L336" s="7" t="inlineStr">
        <is>
          <t>Apex Funding</t>
        </is>
      </c>
      <c r="M336" s="7" t="inlineStr">
        <is>
          <t>Summit Loan Servicing</t>
        </is>
      </c>
    </row>
    <row r="337">
      <c r="A337" s="5" t="inlineStr">
        <is>
          <t>L100332</t>
        </is>
      </c>
      <c r="B337" s="16" t="n">
        <v>190113.08</v>
      </c>
      <c r="C337" s="16" t="n">
        <v>186500.38</v>
      </c>
      <c r="D337" s="26" t="n">
        <v>8.414</v>
      </c>
      <c r="E337" s="6" t="n">
        <v>729</v>
      </c>
      <c r="F337" s="11" t="n">
        <v>92.3</v>
      </c>
      <c r="G337" s="11" t="n">
        <v>34</v>
      </c>
      <c r="H337" s="6" t="n">
        <v>28</v>
      </c>
      <c r="I337" s="6" t="n">
        <v>332</v>
      </c>
      <c r="J337" s="5" t="inlineStr">
        <is>
          <t>CA</t>
        </is>
      </c>
      <c r="K337" s="5" t="inlineStr">
        <is>
          <t>Condo</t>
        </is>
      </c>
      <c r="L337" s="5" t="inlineStr">
        <is>
          <t>Apex Funding</t>
        </is>
      </c>
      <c r="M337" s="5" t="inlineStr">
        <is>
          <t>Summit Loan Servicing</t>
        </is>
      </c>
    </row>
    <row r="338">
      <c r="A338" s="7" t="inlineStr">
        <is>
          <t>L100333</t>
        </is>
      </c>
      <c r="B338" s="8" t="n">
        <v>170279.92</v>
      </c>
      <c r="C338" s="8" t="n">
        <v>164318.1</v>
      </c>
      <c r="D338" s="27" t="n">
        <v>7.869</v>
      </c>
      <c r="E338" s="10" t="n">
        <v>713</v>
      </c>
      <c r="F338" s="12" t="n">
        <v>86.3</v>
      </c>
      <c r="G338" s="12" t="n">
        <v>21.7</v>
      </c>
      <c r="H338" s="10" t="n">
        <v>44</v>
      </c>
      <c r="I338" s="10" t="n">
        <v>316</v>
      </c>
      <c r="J338" s="7" t="inlineStr">
        <is>
          <t>FL</t>
        </is>
      </c>
      <c r="K338" s="7" t="inlineStr">
        <is>
          <t>SFR</t>
        </is>
      </c>
      <c r="L338" s="7" t="inlineStr">
        <is>
          <t>Highline Capital</t>
        </is>
      </c>
      <c r="M338" s="7" t="inlineStr">
        <is>
          <t>Pier Asset Mgmt</t>
        </is>
      </c>
    </row>
    <row r="339">
      <c r="A339" s="5" t="inlineStr">
        <is>
          <t>L100334</t>
        </is>
      </c>
      <c r="B339" s="16" t="n">
        <v>245603.5</v>
      </c>
      <c r="C339" s="16" t="n">
        <v>236247.12</v>
      </c>
      <c r="D339" s="26" t="n">
        <v>7.548</v>
      </c>
      <c r="E339" s="6" t="n">
        <v>688</v>
      </c>
      <c r="F339" s="11" t="n">
        <v>80.90000000000001</v>
      </c>
      <c r="G339" s="11" t="n">
        <v>23</v>
      </c>
      <c r="H339" s="6" t="n">
        <v>45</v>
      </c>
      <c r="I339" s="6" t="n">
        <v>315</v>
      </c>
      <c r="J339" s="5" t="inlineStr">
        <is>
          <t>TX</t>
        </is>
      </c>
      <c r="K339" s="5" t="inlineStr">
        <is>
          <t>SFR</t>
        </is>
      </c>
      <c r="L339" s="5" t="inlineStr">
        <is>
          <t>Highline Capital</t>
        </is>
      </c>
      <c r="M339" s="5" t="inlineStr">
        <is>
          <t>Northgate Servicing</t>
        </is>
      </c>
    </row>
    <row r="340">
      <c r="A340" s="7" t="inlineStr">
        <is>
          <t>L100335</t>
        </is>
      </c>
      <c r="B340" s="8" t="n">
        <v>158610.05</v>
      </c>
      <c r="C340" s="8" t="n">
        <v>157401.04</v>
      </c>
      <c r="D340" s="27" t="n">
        <v>6.324</v>
      </c>
      <c r="E340" s="10" t="n">
        <v>720</v>
      </c>
      <c r="F340" s="12" t="n">
        <v>63.7</v>
      </c>
      <c r="G340" s="12" t="n">
        <v>21.3</v>
      </c>
      <c r="H340" s="10" t="n">
        <v>8</v>
      </c>
      <c r="I340" s="10" t="n">
        <v>352</v>
      </c>
      <c r="J340" s="7" t="inlineStr">
        <is>
          <t>IL</t>
        </is>
      </c>
      <c r="K340" s="7" t="inlineStr">
        <is>
          <t>Multifamily</t>
        </is>
      </c>
      <c r="L340" s="7" t="inlineStr">
        <is>
          <t>Coastal Mortgage Co</t>
        </is>
      </c>
      <c r="M340" s="7" t="inlineStr">
        <is>
          <t>Pier Asset Mgmt</t>
        </is>
      </c>
    </row>
    <row r="341">
      <c r="A341" s="5" t="inlineStr">
        <is>
          <t>L100336</t>
        </is>
      </c>
      <c r="B341" s="16" t="n">
        <v>191971.25</v>
      </c>
      <c r="C341" s="16" t="n">
        <v>187068.78</v>
      </c>
      <c r="D341" s="26" t="n">
        <v>7.45</v>
      </c>
      <c r="E341" s="6" t="n">
        <v>820</v>
      </c>
      <c r="F341" s="11" t="n">
        <v>75.8</v>
      </c>
      <c r="G341" s="11" t="n">
        <v>39</v>
      </c>
      <c r="H341" s="6" t="n">
        <v>31</v>
      </c>
      <c r="I341" s="6" t="n">
        <v>329</v>
      </c>
      <c r="J341" s="5" t="inlineStr">
        <is>
          <t>TX</t>
        </is>
      </c>
      <c r="K341" s="5" t="inlineStr">
        <is>
          <t>Multifamily</t>
        </is>
      </c>
      <c r="L341" s="5" t="inlineStr">
        <is>
          <t>Highline Capital</t>
        </is>
      </c>
      <c r="M341" s="5" t="inlineStr">
        <is>
          <t>Summit Loan Servicing</t>
        </is>
      </c>
    </row>
    <row r="342">
      <c r="A342" s="7" t="inlineStr">
        <is>
          <t>L100337</t>
        </is>
      </c>
      <c r="B342" s="8" t="n">
        <v>270818.28</v>
      </c>
      <c r="C342" s="8" t="n">
        <v>264342.49</v>
      </c>
      <c r="D342" s="27" t="n">
        <v>6.313</v>
      </c>
      <c r="E342" s="10" t="n">
        <v>761</v>
      </c>
      <c r="F342" s="12" t="n">
        <v>68.3</v>
      </c>
      <c r="G342" s="12" t="n">
        <v>25.1</v>
      </c>
      <c r="H342" s="10" t="n">
        <v>24</v>
      </c>
      <c r="I342" s="10" t="n">
        <v>336</v>
      </c>
      <c r="J342" s="7" t="inlineStr">
        <is>
          <t>NY</t>
        </is>
      </c>
      <c r="K342" s="7" t="inlineStr">
        <is>
          <t>SFR</t>
        </is>
      </c>
      <c r="L342" s="7" t="inlineStr">
        <is>
          <t>Highline Capital</t>
        </is>
      </c>
      <c r="M342" s="7" t="inlineStr">
        <is>
          <t>Northgate Servicing</t>
        </is>
      </c>
    </row>
    <row r="343">
      <c r="A343" s="5" t="inlineStr">
        <is>
          <t>L100338</t>
        </is>
      </c>
      <c r="B343" s="16" t="n">
        <v>363799.88</v>
      </c>
      <c r="C343" s="16" t="n">
        <v>341693.88</v>
      </c>
      <c r="D343" s="26" t="n">
        <v>5.002</v>
      </c>
      <c r="E343" s="6" t="n">
        <v>773</v>
      </c>
      <c r="F343" s="11" t="n">
        <v>74.3</v>
      </c>
      <c r="G343" s="11" t="n">
        <v>46</v>
      </c>
      <c r="H343" s="6" t="n">
        <v>46</v>
      </c>
      <c r="I343" s="6" t="n">
        <v>314</v>
      </c>
      <c r="J343" s="5" t="inlineStr">
        <is>
          <t>TX</t>
        </is>
      </c>
      <c r="K343" s="5" t="inlineStr">
        <is>
          <t>SFR</t>
        </is>
      </c>
      <c r="L343" s="5" t="inlineStr">
        <is>
          <t>Meridian Home Loans</t>
        </is>
      </c>
      <c r="M343" s="5" t="inlineStr">
        <is>
          <t>Pier Asset Mgmt</t>
        </is>
      </c>
    </row>
    <row r="344">
      <c r="A344" s="7" t="inlineStr">
        <is>
          <t>L100339</t>
        </is>
      </c>
      <c r="B344" s="8" t="n">
        <v>300458.98</v>
      </c>
      <c r="C344" s="8" t="n">
        <v>293977.1</v>
      </c>
      <c r="D344" s="27" t="n">
        <v>7.753</v>
      </c>
      <c r="E344" s="10" t="n">
        <v>761</v>
      </c>
      <c r="F344" s="12" t="n">
        <v>71</v>
      </c>
      <c r="G344" s="12" t="n">
        <v>36.2</v>
      </c>
      <c r="H344" s="10" t="n">
        <v>28</v>
      </c>
      <c r="I344" s="10" t="n">
        <v>332</v>
      </c>
      <c r="J344" s="7" t="inlineStr">
        <is>
          <t>NC</t>
        </is>
      </c>
      <c r="K344" s="7" t="inlineStr">
        <is>
          <t>SFR</t>
        </is>
      </c>
      <c r="L344" s="7" t="inlineStr">
        <is>
          <t>Apex Funding</t>
        </is>
      </c>
      <c r="M344" s="7" t="inlineStr">
        <is>
          <t>Summit Loan Servicing</t>
        </is>
      </c>
    </row>
    <row r="345">
      <c r="A345" s="5" t="inlineStr">
        <is>
          <t>L100340</t>
        </is>
      </c>
      <c r="B345" s="16" t="n">
        <v>108885.12</v>
      </c>
      <c r="C345" s="16" t="n">
        <v>108802.94</v>
      </c>
      <c r="D345" s="26" t="n">
        <v>7.416</v>
      </c>
      <c r="E345" s="6" t="n">
        <v>796</v>
      </c>
      <c r="F345" s="11" t="n">
        <v>49.5</v>
      </c>
      <c r="G345" s="11" t="n">
        <v>34</v>
      </c>
      <c r="H345" s="6" t="n">
        <v>1</v>
      </c>
      <c r="I345" s="6" t="n">
        <v>359</v>
      </c>
      <c r="J345" s="5" t="inlineStr">
        <is>
          <t>IL</t>
        </is>
      </c>
      <c r="K345" s="5" t="inlineStr">
        <is>
          <t>SFR</t>
        </is>
      </c>
      <c r="L345" s="5" t="inlineStr">
        <is>
          <t>Meridian Home Loans</t>
        </is>
      </c>
      <c r="M345" s="5" t="inlineStr">
        <is>
          <t>Summit Loan Servicing</t>
        </is>
      </c>
    </row>
    <row r="346">
      <c r="A346" s="7" t="inlineStr">
        <is>
          <t>L100341</t>
        </is>
      </c>
      <c r="B346" s="8" t="n">
        <v>270094.82</v>
      </c>
      <c r="C346" s="8" t="n">
        <v>260880.29</v>
      </c>
      <c r="D346" s="27" t="n">
        <v>6.372</v>
      </c>
      <c r="E346" s="10" t="n">
        <v>705</v>
      </c>
      <c r="F346" s="12" t="n">
        <v>87.5</v>
      </c>
      <c r="G346" s="12" t="n">
        <v>29.2</v>
      </c>
      <c r="H346" s="10" t="n">
        <v>10</v>
      </c>
      <c r="I346" s="10" t="n">
        <v>170</v>
      </c>
      <c r="J346" s="7" t="inlineStr">
        <is>
          <t>CA</t>
        </is>
      </c>
      <c r="K346" s="7" t="inlineStr">
        <is>
          <t>SFR</t>
        </is>
      </c>
      <c r="L346" s="7" t="inlineStr">
        <is>
          <t>Coastal Mortgage Co</t>
        </is>
      </c>
      <c r="M346" s="7" t="inlineStr">
        <is>
          <t>Summit Loan Servicing</t>
        </is>
      </c>
    </row>
    <row r="347">
      <c r="A347" s="5" t="inlineStr">
        <is>
          <t>L100342</t>
        </is>
      </c>
      <c r="B347" s="16" t="n">
        <v>249000.89</v>
      </c>
      <c r="C347" s="16" t="n">
        <v>246992.62</v>
      </c>
      <c r="D347" s="26" t="n">
        <v>5.297</v>
      </c>
      <c r="E347" s="6" t="n">
        <v>602</v>
      </c>
      <c r="F347" s="11" t="n">
        <v>73</v>
      </c>
      <c r="G347" s="11" t="n">
        <v>41</v>
      </c>
      <c r="H347" s="6" t="n">
        <v>7</v>
      </c>
      <c r="I347" s="6" t="n">
        <v>353</v>
      </c>
      <c r="J347" s="5" t="inlineStr">
        <is>
          <t>CA</t>
        </is>
      </c>
      <c r="K347" s="5" t="inlineStr">
        <is>
          <t>SFR</t>
        </is>
      </c>
      <c r="L347" s="5" t="inlineStr">
        <is>
          <t>Meridian Home Loans</t>
        </is>
      </c>
      <c r="M347" s="5" t="inlineStr">
        <is>
          <t>Summit Loan Servicing</t>
        </is>
      </c>
    </row>
    <row r="348">
      <c r="A348" s="7" t="inlineStr">
        <is>
          <t>L100343</t>
        </is>
      </c>
      <c r="B348" s="8" t="n">
        <v>280649.43</v>
      </c>
      <c r="C348" s="8" t="n">
        <v>277722.58</v>
      </c>
      <c r="D348" s="27" t="n">
        <v>5.872</v>
      </c>
      <c r="E348" s="10" t="n">
        <v>705</v>
      </c>
      <c r="F348" s="12" t="n">
        <v>68.2</v>
      </c>
      <c r="G348" s="12" t="n">
        <v>29.6</v>
      </c>
      <c r="H348" s="10" t="n">
        <v>10</v>
      </c>
      <c r="I348" s="10" t="n">
        <v>350</v>
      </c>
      <c r="J348" s="7" t="inlineStr">
        <is>
          <t>IL</t>
        </is>
      </c>
      <c r="K348" s="7" t="inlineStr">
        <is>
          <t>SFR</t>
        </is>
      </c>
      <c r="L348" s="7" t="inlineStr">
        <is>
          <t>Coastal Mortgage Co</t>
        </is>
      </c>
      <c r="M348" s="7" t="inlineStr">
        <is>
          <t>Northgate Servicing</t>
        </is>
      </c>
    </row>
    <row r="349">
      <c r="A349" s="5" t="inlineStr">
        <is>
          <t>L100344</t>
        </is>
      </c>
      <c r="B349" s="16" t="n">
        <v>427484.53</v>
      </c>
      <c r="C349" s="16" t="n">
        <v>424779.39</v>
      </c>
      <c r="D349" s="26" t="n">
        <v>4.761</v>
      </c>
      <c r="E349" s="6" t="n">
        <v>760</v>
      </c>
      <c r="F349" s="11" t="n">
        <v>67.3</v>
      </c>
      <c r="G349" s="11" t="n">
        <v>28.1</v>
      </c>
      <c r="H349" s="6" t="n">
        <v>5</v>
      </c>
      <c r="I349" s="6" t="n">
        <v>355</v>
      </c>
      <c r="J349" s="5" t="inlineStr">
        <is>
          <t>GA</t>
        </is>
      </c>
      <c r="K349" s="5" t="inlineStr">
        <is>
          <t>SFR</t>
        </is>
      </c>
      <c r="L349" s="5" t="inlineStr">
        <is>
          <t>Apex Funding</t>
        </is>
      </c>
      <c r="M349" s="5" t="inlineStr">
        <is>
          <t>Summit Loan Servicing</t>
        </is>
      </c>
    </row>
    <row r="350">
      <c r="A350" s="7" t="inlineStr">
        <is>
          <t>L100345</t>
        </is>
      </c>
      <c r="B350" s="8" t="n">
        <v>117932.37</v>
      </c>
      <c r="C350" s="8" t="n">
        <v>114131.45</v>
      </c>
      <c r="D350" s="27" t="n">
        <v>7.251</v>
      </c>
      <c r="E350" s="10" t="n">
        <v>662</v>
      </c>
      <c r="F350" s="12" t="n">
        <v>78.3</v>
      </c>
      <c r="G350" s="12" t="n">
        <v>45.5</v>
      </c>
      <c r="H350" s="10" t="n">
        <v>37</v>
      </c>
      <c r="I350" s="10" t="n">
        <v>323</v>
      </c>
      <c r="J350" s="7" t="inlineStr">
        <is>
          <t>TX</t>
        </is>
      </c>
      <c r="K350" s="7" t="inlineStr">
        <is>
          <t>SFR</t>
        </is>
      </c>
      <c r="L350" s="7" t="inlineStr">
        <is>
          <t>Coastal Mortgage Co</t>
        </is>
      </c>
      <c r="M350" s="7" t="inlineStr">
        <is>
          <t>Summit Loan Servicing</t>
        </is>
      </c>
    </row>
    <row r="351">
      <c r="A351" s="5" t="inlineStr">
        <is>
          <t>L100346</t>
        </is>
      </c>
      <c r="B351" s="16" t="n">
        <v>197424.95</v>
      </c>
      <c r="C351" s="16" t="n">
        <v>191405.31</v>
      </c>
      <c r="D351" s="26" t="n">
        <v>4.957</v>
      </c>
      <c r="E351" s="6" t="n">
        <v>705</v>
      </c>
      <c r="F351" s="11" t="n">
        <v>63.3</v>
      </c>
      <c r="G351" s="11" t="n">
        <v>38.8</v>
      </c>
      <c r="H351" s="6" t="n">
        <v>24</v>
      </c>
      <c r="I351" s="6" t="n">
        <v>336</v>
      </c>
      <c r="J351" s="5" t="inlineStr">
        <is>
          <t>NY</t>
        </is>
      </c>
      <c r="K351" s="5" t="inlineStr">
        <is>
          <t>Condo</t>
        </is>
      </c>
      <c r="L351" s="5" t="inlineStr">
        <is>
          <t>Meridian Home Loans</t>
        </is>
      </c>
      <c r="M351" s="5" t="inlineStr">
        <is>
          <t>Northgate Servicing</t>
        </is>
      </c>
    </row>
    <row r="352">
      <c r="A352" s="7" t="inlineStr">
        <is>
          <t>L100347</t>
        </is>
      </c>
      <c r="B352" s="8" t="n">
        <v>298587.18</v>
      </c>
      <c r="C352" s="8" t="n">
        <v>289449.4</v>
      </c>
      <c r="D352" s="27" t="n">
        <v>6.658</v>
      </c>
      <c r="E352" s="10" t="n">
        <v>677</v>
      </c>
      <c r="F352" s="12" t="n">
        <v>46.9</v>
      </c>
      <c r="G352" s="12" t="n">
        <v>34.1</v>
      </c>
      <c r="H352" s="10" t="n">
        <v>32</v>
      </c>
      <c r="I352" s="10" t="n">
        <v>328</v>
      </c>
      <c r="J352" s="7" t="inlineStr">
        <is>
          <t>NC</t>
        </is>
      </c>
      <c r="K352" s="7" t="inlineStr">
        <is>
          <t>SFR</t>
        </is>
      </c>
      <c r="L352" s="7" t="inlineStr">
        <is>
          <t>Coastal Mortgage Co</t>
        </is>
      </c>
      <c r="M352" s="7" t="inlineStr">
        <is>
          <t>Summit Loan Servicing</t>
        </is>
      </c>
    </row>
    <row r="353">
      <c r="A353" s="5" t="inlineStr">
        <is>
          <t>L100348</t>
        </is>
      </c>
      <c r="B353" s="16" t="n">
        <v>139586.81</v>
      </c>
      <c r="C353" s="16" t="n">
        <v>131782.1</v>
      </c>
      <c r="D353" s="26" t="n">
        <v>5.641</v>
      </c>
      <c r="E353" s="6" t="n">
        <v>798</v>
      </c>
      <c r="F353" s="11" t="n">
        <v>78.90000000000001</v>
      </c>
      <c r="G353" s="11" t="n">
        <v>41.1</v>
      </c>
      <c r="H353" s="6" t="n">
        <v>47</v>
      </c>
      <c r="I353" s="6" t="n">
        <v>313</v>
      </c>
      <c r="J353" s="5" t="inlineStr">
        <is>
          <t>IL</t>
        </is>
      </c>
      <c r="K353" s="5" t="inlineStr">
        <is>
          <t>SFR</t>
        </is>
      </c>
      <c r="L353" s="5" t="inlineStr">
        <is>
          <t>Apex Funding</t>
        </is>
      </c>
      <c r="M353" s="5" t="inlineStr">
        <is>
          <t>Northgate Servicing</t>
        </is>
      </c>
    </row>
    <row r="354">
      <c r="A354" s="7" t="inlineStr">
        <is>
          <t>L100349</t>
        </is>
      </c>
      <c r="B354" s="8" t="n">
        <v>407005.58</v>
      </c>
      <c r="C354" s="8" t="n">
        <v>391178.6</v>
      </c>
      <c r="D354" s="27" t="n">
        <v>5.116</v>
      </c>
      <c r="E354" s="10" t="n">
        <v>756</v>
      </c>
      <c r="F354" s="12" t="n">
        <v>80.2</v>
      </c>
      <c r="G354" s="12" t="n">
        <v>36.1</v>
      </c>
      <c r="H354" s="10" t="n">
        <v>31</v>
      </c>
      <c r="I354" s="10" t="n">
        <v>329</v>
      </c>
      <c r="J354" s="7" t="inlineStr">
        <is>
          <t>TX</t>
        </is>
      </c>
      <c r="K354" s="7" t="inlineStr">
        <is>
          <t>Condo</t>
        </is>
      </c>
      <c r="L354" s="7" t="inlineStr">
        <is>
          <t>Highline Capital</t>
        </is>
      </c>
      <c r="M354" s="7" t="inlineStr">
        <is>
          <t>Pier Asset Mgmt</t>
        </is>
      </c>
    </row>
    <row r="355">
      <c r="A355" s="5" t="inlineStr">
        <is>
          <t>L100350</t>
        </is>
      </c>
      <c r="B355" s="16" t="n">
        <v>276212.23</v>
      </c>
      <c r="C355" s="16" t="n">
        <v>270242.25</v>
      </c>
      <c r="D355" s="26" t="n">
        <v>6.615</v>
      </c>
      <c r="E355" s="6" t="n">
        <v>751</v>
      </c>
      <c r="F355" s="11" t="n">
        <v>71.59999999999999</v>
      </c>
      <c r="G355" s="11" t="n">
        <v>39.1</v>
      </c>
      <c r="H355" s="6" t="n">
        <v>23</v>
      </c>
      <c r="I355" s="6" t="n">
        <v>337</v>
      </c>
      <c r="J355" s="5" t="inlineStr">
        <is>
          <t>NY</t>
        </is>
      </c>
      <c r="K355" s="5" t="inlineStr">
        <is>
          <t>Condo</t>
        </is>
      </c>
      <c r="L355" s="5" t="inlineStr">
        <is>
          <t>Meridian Home Loans</t>
        </is>
      </c>
      <c r="M355" s="5" t="inlineStr">
        <is>
          <t>Pier Asset Mgmt</t>
        </is>
      </c>
    </row>
    <row r="356">
      <c r="A356" s="7" t="inlineStr">
        <is>
          <t>L100351</t>
        </is>
      </c>
      <c r="B356" s="8" t="n">
        <v>326538.91</v>
      </c>
      <c r="C356" s="8" t="n">
        <v>322264.34</v>
      </c>
      <c r="D356" s="27" t="n">
        <v>6.1</v>
      </c>
      <c r="E356" s="10" t="n">
        <v>749</v>
      </c>
      <c r="F356" s="12" t="n">
        <v>60.2</v>
      </c>
      <c r="G356" s="12" t="n">
        <v>29.5</v>
      </c>
      <c r="H356" s="10" t="n">
        <v>13</v>
      </c>
      <c r="I356" s="10" t="n">
        <v>347</v>
      </c>
      <c r="J356" s="7" t="inlineStr">
        <is>
          <t>TX</t>
        </is>
      </c>
      <c r="K356" s="7" t="inlineStr">
        <is>
          <t>SFR</t>
        </is>
      </c>
      <c r="L356" s="7" t="inlineStr">
        <is>
          <t>Coastal Mortgage Co</t>
        </is>
      </c>
      <c r="M356" s="7" t="inlineStr">
        <is>
          <t>Pier Asset Mgmt</t>
        </is>
      </c>
    </row>
    <row r="357">
      <c r="A357" s="5" t="inlineStr">
        <is>
          <t>L100352</t>
        </is>
      </c>
      <c r="B357" s="16" t="n">
        <v>198822.89</v>
      </c>
      <c r="C357" s="16" t="n">
        <v>192495.93</v>
      </c>
      <c r="D357" s="26" t="n">
        <v>7.154</v>
      </c>
      <c r="E357" s="6" t="n">
        <v>713</v>
      </c>
      <c r="F357" s="11" t="n">
        <v>75.09999999999999</v>
      </c>
      <c r="G357" s="11" t="n">
        <v>52.6</v>
      </c>
      <c r="H357" s="6" t="n">
        <v>36</v>
      </c>
      <c r="I357" s="6" t="n">
        <v>324</v>
      </c>
      <c r="J357" s="5" t="inlineStr">
        <is>
          <t>WA</t>
        </is>
      </c>
      <c r="K357" s="5" t="inlineStr">
        <is>
          <t>Condo</t>
        </is>
      </c>
      <c r="L357" s="5" t="inlineStr">
        <is>
          <t>Meridian Home Loans</t>
        </is>
      </c>
      <c r="M357" s="5" t="inlineStr">
        <is>
          <t>Pier Asset Mgmt</t>
        </is>
      </c>
    </row>
    <row r="358">
      <c r="A358" s="7" t="inlineStr">
        <is>
          <t>L100353</t>
        </is>
      </c>
      <c r="B358" s="8" t="n">
        <v>322809.39</v>
      </c>
      <c r="C358" s="8" t="n">
        <v>313475.88</v>
      </c>
      <c r="D358" s="27" t="n">
        <v>5.259</v>
      </c>
      <c r="E358" s="10" t="n">
        <v>726</v>
      </c>
      <c r="F358" s="12" t="n">
        <v>56.4</v>
      </c>
      <c r="G358" s="12" t="n">
        <v>31.4</v>
      </c>
      <c r="H358" s="10" t="n">
        <v>24</v>
      </c>
      <c r="I358" s="10" t="n">
        <v>336</v>
      </c>
      <c r="J358" s="7" t="inlineStr">
        <is>
          <t>OH</t>
        </is>
      </c>
      <c r="K358" s="7" t="inlineStr">
        <is>
          <t>SFR</t>
        </is>
      </c>
      <c r="L358" s="7" t="inlineStr">
        <is>
          <t>Meridian Home Loans</t>
        </is>
      </c>
      <c r="M358" s="7" t="inlineStr">
        <is>
          <t>Pier Asset Mgmt</t>
        </is>
      </c>
    </row>
    <row r="359">
      <c r="A359" s="5" t="inlineStr">
        <is>
          <t>L100354</t>
        </is>
      </c>
      <c r="B359" s="16" t="n">
        <v>352908.83</v>
      </c>
      <c r="C359" s="16" t="n">
        <v>304222.23</v>
      </c>
      <c r="D359" s="26" t="n">
        <v>5.718</v>
      </c>
      <c r="E359" s="6" t="n">
        <v>650</v>
      </c>
      <c r="F359" s="11" t="n">
        <v>61.7</v>
      </c>
      <c r="G359" s="11" t="n">
        <v>48.4</v>
      </c>
      <c r="H359" s="6" t="n">
        <v>36</v>
      </c>
      <c r="I359" s="6" t="n">
        <v>144</v>
      </c>
      <c r="J359" s="5" t="inlineStr">
        <is>
          <t>NY</t>
        </is>
      </c>
      <c r="K359" s="5" t="inlineStr">
        <is>
          <t>SFR</t>
        </is>
      </c>
      <c r="L359" s="5" t="inlineStr">
        <is>
          <t>Meridian Home Loans</t>
        </is>
      </c>
      <c r="M359" s="5" t="inlineStr">
        <is>
          <t>Summit Loan Servicing</t>
        </is>
      </c>
    </row>
    <row r="360">
      <c r="A360" s="7" t="inlineStr">
        <is>
          <t>L100355</t>
        </is>
      </c>
      <c r="B360" s="8" t="n">
        <v>263420.61</v>
      </c>
      <c r="C360" s="8" t="n">
        <v>262693.61</v>
      </c>
      <c r="D360" s="27" t="n">
        <v>4.251</v>
      </c>
      <c r="E360" s="10" t="n">
        <v>595</v>
      </c>
      <c r="F360" s="12" t="n">
        <v>65</v>
      </c>
      <c r="G360" s="12" t="n">
        <v>34.5</v>
      </c>
      <c r="H360" s="10" t="n">
        <v>2</v>
      </c>
      <c r="I360" s="10" t="n">
        <v>358</v>
      </c>
      <c r="J360" s="7" t="inlineStr">
        <is>
          <t>FL</t>
        </is>
      </c>
      <c r="K360" s="7" t="inlineStr">
        <is>
          <t>SFR</t>
        </is>
      </c>
      <c r="L360" s="7" t="inlineStr">
        <is>
          <t>Highline Capital</t>
        </is>
      </c>
      <c r="M360" s="7" t="inlineStr">
        <is>
          <t>Pier Asset Mgmt</t>
        </is>
      </c>
    </row>
    <row r="361">
      <c r="A361" s="5" t="inlineStr">
        <is>
          <t>L100356</t>
        </is>
      </c>
      <c r="B361" s="16" t="n">
        <v>263561.05</v>
      </c>
      <c r="C361" s="16" t="n">
        <v>260714.43</v>
      </c>
      <c r="D361" s="26" t="n">
        <v>4.434</v>
      </c>
      <c r="E361" s="6" t="n">
        <v>723</v>
      </c>
      <c r="F361" s="11" t="n">
        <v>84.09999999999999</v>
      </c>
      <c r="G361" s="11" t="n">
        <v>42.5</v>
      </c>
      <c r="H361" s="6" t="n">
        <v>8</v>
      </c>
      <c r="I361" s="6" t="n">
        <v>352</v>
      </c>
      <c r="J361" s="5" t="inlineStr">
        <is>
          <t>TX</t>
        </is>
      </c>
      <c r="K361" s="5" t="inlineStr">
        <is>
          <t>Multifamily</t>
        </is>
      </c>
      <c r="L361" s="5" t="inlineStr">
        <is>
          <t>Highline Capital</t>
        </is>
      </c>
      <c r="M361" s="5" t="inlineStr">
        <is>
          <t>Northgate Servicing</t>
        </is>
      </c>
    </row>
    <row r="362">
      <c r="A362" s="7" t="inlineStr">
        <is>
          <t>L100357</t>
        </is>
      </c>
      <c r="B362" s="8" t="n">
        <v>266897.54</v>
      </c>
      <c r="C362" s="8" t="n">
        <v>265623.22</v>
      </c>
      <c r="D362" s="27" t="n">
        <v>8.018000000000001</v>
      </c>
      <c r="E362" s="10" t="n">
        <v>733</v>
      </c>
      <c r="F362" s="12" t="n">
        <v>69.59999999999999</v>
      </c>
      <c r="G362" s="12" t="n">
        <v>41.9</v>
      </c>
      <c r="H362" s="10" t="n">
        <v>7</v>
      </c>
      <c r="I362" s="10" t="n">
        <v>353</v>
      </c>
      <c r="J362" s="7" t="inlineStr">
        <is>
          <t>AZ</t>
        </is>
      </c>
      <c r="K362" s="7" t="inlineStr">
        <is>
          <t>Multifamily</t>
        </is>
      </c>
      <c r="L362" s="7" t="inlineStr">
        <is>
          <t>Apex Funding</t>
        </is>
      </c>
      <c r="M362" s="7" t="inlineStr">
        <is>
          <t>Summit Loan Servicing</t>
        </is>
      </c>
    </row>
    <row r="363">
      <c r="A363" s="5" t="inlineStr">
        <is>
          <t>L100358</t>
        </is>
      </c>
      <c r="B363" s="16" t="n">
        <v>179481.81</v>
      </c>
      <c r="C363" s="16" t="n">
        <v>175278.52</v>
      </c>
      <c r="D363" s="26" t="n">
        <v>8.275</v>
      </c>
      <c r="E363" s="6" t="n">
        <v>782</v>
      </c>
      <c r="F363" s="11" t="n">
        <v>68.59999999999999</v>
      </c>
      <c r="G363" s="11" t="n">
        <v>45.2</v>
      </c>
      <c r="H363" s="6" t="n">
        <v>33</v>
      </c>
      <c r="I363" s="6" t="n">
        <v>327</v>
      </c>
      <c r="J363" s="5" t="inlineStr">
        <is>
          <t>WA</t>
        </is>
      </c>
      <c r="K363" s="5" t="inlineStr">
        <is>
          <t>Condo</t>
        </is>
      </c>
      <c r="L363" s="5" t="inlineStr">
        <is>
          <t>Coastal Mortgage Co</t>
        </is>
      </c>
      <c r="M363" s="5" t="inlineStr">
        <is>
          <t>Northgate Servicing</t>
        </is>
      </c>
    </row>
    <row r="364">
      <c r="A364" s="7" t="inlineStr">
        <is>
          <t>L100359</t>
        </is>
      </c>
      <c r="B364" s="8" t="n">
        <v>230582.72</v>
      </c>
      <c r="C364" s="8" t="n">
        <v>225000.81</v>
      </c>
      <c r="D364" s="27" t="n">
        <v>6.483</v>
      </c>
      <c r="E364" s="10" t="n">
        <v>801</v>
      </c>
      <c r="F364" s="12" t="n">
        <v>97</v>
      </c>
      <c r="G364" s="12" t="n">
        <v>29.3</v>
      </c>
      <c r="H364" s="10" t="n">
        <v>25</v>
      </c>
      <c r="I364" s="10" t="n">
        <v>335</v>
      </c>
      <c r="J364" s="7" t="inlineStr">
        <is>
          <t>FL</t>
        </is>
      </c>
      <c r="K364" s="7" t="inlineStr">
        <is>
          <t>2-4 Unit</t>
        </is>
      </c>
      <c r="L364" s="7" t="inlineStr">
        <is>
          <t>Highline Capital</t>
        </is>
      </c>
      <c r="M364" s="7" t="inlineStr">
        <is>
          <t>Summit Loan Servicing</t>
        </is>
      </c>
    </row>
    <row r="365">
      <c r="A365" s="5" t="inlineStr">
        <is>
          <t>L100360</t>
        </is>
      </c>
      <c r="B365" s="16" t="n">
        <v>230180.05</v>
      </c>
      <c r="C365" s="16" t="n">
        <v>226388.96</v>
      </c>
      <c r="D365" s="26" t="n">
        <v>5.659</v>
      </c>
      <c r="E365" s="6" t="n">
        <v>801</v>
      </c>
      <c r="F365" s="11" t="n">
        <v>78.2</v>
      </c>
      <c r="G365" s="11" t="n">
        <v>44.6</v>
      </c>
      <c r="H365" s="6" t="n">
        <v>15</v>
      </c>
      <c r="I365" s="6" t="n">
        <v>345</v>
      </c>
      <c r="J365" s="5" t="inlineStr">
        <is>
          <t>NC</t>
        </is>
      </c>
      <c r="K365" s="5" t="inlineStr">
        <is>
          <t>SFR</t>
        </is>
      </c>
      <c r="L365" s="5" t="inlineStr">
        <is>
          <t>Coastal Mortgage Co</t>
        </is>
      </c>
      <c r="M365" s="5" t="inlineStr">
        <is>
          <t>Northgate Servicing</t>
        </is>
      </c>
    </row>
    <row r="366">
      <c r="A366" s="7" t="inlineStr">
        <is>
          <t>L100361</t>
        </is>
      </c>
      <c r="B366" s="8" t="n">
        <v>277669.78</v>
      </c>
      <c r="C366" s="8" t="n">
        <v>273478.41</v>
      </c>
      <c r="D366" s="27" t="n">
        <v>6.131</v>
      </c>
      <c r="E366" s="10" t="n">
        <v>660</v>
      </c>
      <c r="F366" s="12" t="n">
        <v>78.09999999999999</v>
      </c>
      <c r="G366" s="12" t="n">
        <v>50.8</v>
      </c>
      <c r="H366" s="10" t="n">
        <v>15</v>
      </c>
      <c r="I366" s="10" t="n">
        <v>345</v>
      </c>
      <c r="J366" s="7" t="inlineStr">
        <is>
          <t>FL</t>
        </is>
      </c>
      <c r="K366" s="7" t="inlineStr">
        <is>
          <t>Condo</t>
        </is>
      </c>
      <c r="L366" s="7" t="inlineStr">
        <is>
          <t>Apex Funding</t>
        </is>
      </c>
      <c r="M366" s="7" t="inlineStr">
        <is>
          <t>Northgate Servicing</t>
        </is>
      </c>
    </row>
    <row r="367">
      <c r="A367" s="5" t="inlineStr">
        <is>
          <t>L100362</t>
        </is>
      </c>
      <c r="B367" s="16" t="n">
        <v>344530.7</v>
      </c>
      <c r="C367" s="16" t="n">
        <v>335937.86</v>
      </c>
      <c r="D367" s="26" t="n">
        <v>7.186</v>
      </c>
      <c r="E367" s="6" t="n">
        <v>696</v>
      </c>
      <c r="F367" s="11" t="n">
        <v>69.59999999999999</v>
      </c>
      <c r="G367" s="11" t="n">
        <v>33.9</v>
      </c>
      <c r="H367" s="6" t="n">
        <v>29</v>
      </c>
      <c r="I367" s="6" t="n">
        <v>331</v>
      </c>
      <c r="J367" s="5" t="inlineStr">
        <is>
          <t>WA</t>
        </is>
      </c>
      <c r="K367" s="5" t="inlineStr">
        <is>
          <t>SFR</t>
        </is>
      </c>
      <c r="L367" s="5" t="inlineStr">
        <is>
          <t>Apex Funding</t>
        </is>
      </c>
      <c r="M367" s="5" t="inlineStr">
        <is>
          <t>Summit Loan Servicing</t>
        </is>
      </c>
    </row>
    <row r="368">
      <c r="A368" s="7" t="inlineStr">
        <is>
          <t>L100363</t>
        </is>
      </c>
      <c r="B368" s="8" t="n">
        <v>167629.65</v>
      </c>
      <c r="C368" s="8" t="n">
        <v>158929.28</v>
      </c>
      <c r="D368" s="27" t="n">
        <v>5.937</v>
      </c>
      <c r="E368" s="10" t="n">
        <v>741</v>
      </c>
      <c r="F368" s="12" t="n">
        <v>66.8</v>
      </c>
      <c r="G368" s="12" t="n">
        <v>36.3</v>
      </c>
      <c r="H368" s="10" t="n">
        <v>46</v>
      </c>
      <c r="I368" s="10" t="n">
        <v>314</v>
      </c>
      <c r="J368" s="7" t="inlineStr">
        <is>
          <t>FL</t>
        </is>
      </c>
      <c r="K368" s="7" t="inlineStr">
        <is>
          <t>SFR</t>
        </is>
      </c>
      <c r="L368" s="7" t="inlineStr">
        <is>
          <t>Apex Funding</t>
        </is>
      </c>
      <c r="M368" s="7" t="inlineStr">
        <is>
          <t>Northgate Servicing</t>
        </is>
      </c>
    </row>
    <row r="369">
      <c r="A369" s="5" t="inlineStr">
        <is>
          <t>L100364</t>
        </is>
      </c>
      <c r="B369" s="16" t="n">
        <v>232407.33</v>
      </c>
      <c r="C369" s="16" t="n">
        <v>221417.42</v>
      </c>
      <c r="D369" s="26" t="n">
        <v>6.614</v>
      </c>
      <c r="E369" s="6" t="n">
        <v>820</v>
      </c>
      <c r="F369" s="11" t="n">
        <v>47.8</v>
      </c>
      <c r="G369" s="11" t="n">
        <v>31.8</v>
      </c>
      <c r="H369" s="6" t="n">
        <v>47</v>
      </c>
      <c r="I369" s="6" t="n">
        <v>313</v>
      </c>
      <c r="J369" s="5" t="inlineStr">
        <is>
          <t>CA</t>
        </is>
      </c>
      <c r="K369" s="5" t="inlineStr">
        <is>
          <t>SFR</t>
        </is>
      </c>
      <c r="L369" s="5" t="inlineStr">
        <is>
          <t>Coastal Mortgage Co</t>
        </is>
      </c>
      <c r="M369" s="5" t="inlineStr">
        <is>
          <t>Summit Loan Servicing</t>
        </is>
      </c>
    </row>
    <row r="370">
      <c r="A370" s="7" t="inlineStr">
        <is>
          <t>L100365</t>
        </is>
      </c>
      <c r="B370" s="8" t="n">
        <v>407790.74</v>
      </c>
      <c r="C370" s="8" t="n">
        <v>374698.64</v>
      </c>
      <c r="D370" s="27" t="n">
        <v>6.389</v>
      </c>
      <c r="E370" s="10" t="n">
        <v>796</v>
      </c>
      <c r="F370" s="12" t="n">
        <v>85.59999999999999</v>
      </c>
      <c r="G370" s="12" t="n">
        <v>33.2</v>
      </c>
      <c r="H370" s="10" t="n">
        <v>23</v>
      </c>
      <c r="I370" s="10" t="n">
        <v>157</v>
      </c>
      <c r="J370" s="7" t="inlineStr">
        <is>
          <t>OH</t>
        </is>
      </c>
      <c r="K370" s="7" t="inlineStr">
        <is>
          <t>Condo</t>
        </is>
      </c>
      <c r="L370" s="7" t="inlineStr">
        <is>
          <t>Coastal Mortgage Co</t>
        </is>
      </c>
      <c r="M370" s="7" t="inlineStr">
        <is>
          <t>Summit Loan Servicing</t>
        </is>
      </c>
    </row>
    <row r="371">
      <c r="A371" s="5" t="inlineStr">
        <is>
          <t>L100366</t>
        </is>
      </c>
      <c r="B371" s="16" t="n">
        <v>187164.67</v>
      </c>
      <c r="C371" s="16" t="n">
        <v>180586.64</v>
      </c>
      <c r="D371" s="26" t="n">
        <v>5.888</v>
      </c>
      <c r="E371" s="6" t="n">
        <v>777</v>
      </c>
      <c r="F371" s="11" t="n">
        <v>79.40000000000001</v>
      </c>
      <c r="G371" s="11" t="n">
        <v>49.7</v>
      </c>
      <c r="H371" s="6" t="n">
        <v>32</v>
      </c>
      <c r="I371" s="6" t="n">
        <v>328</v>
      </c>
      <c r="J371" s="5" t="inlineStr">
        <is>
          <t>WA</t>
        </is>
      </c>
      <c r="K371" s="5" t="inlineStr">
        <is>
          <t>Condo</t>
        </is>
      </c>
      <c r="L371" s="5" t="inlineStr">
        <is>
          <t>Coastal Mortgage Co</t>
        </is>
      </c>
      <c r="M371" s="5" t="inlineStr">
        <is>
          <t>Summit Loan Servicing</t>
        </is>
      </c>
    </row>
    <row r="372">
      <c r="A372" s="7" t="inlineStr">
        <is>
          <t>L100367</t>
        </is>
      </c>
      <c r="B372" s="8" t="n">
        <v>182082.01</v>
      </c>
      <c r="C372" s="8" t="n">
        <v>179543.04</v>
      </c>
      <c r="D372" s="27" t="n">
        <v>5.926</v>
      </c>
      <c r="E372" s="10" t="n">
        <v>694</v>
      </c>
      <c r="F372" s="12" t="n">
        <v>71.90000000000001</v>
      </c>
      <c r="G372" s="12" t="n">
        <v>28</v>
      </c>
      <c r="H372" s="10" t="n">
        <v>4</v>
      </c>
      <c r="I372" s="10" t="n">
        <v>176</v>
      </c>
      <c r="J372" s="7" t="inlineStr">
        <is>
          <t>NY</t>
        </is>
      </c>
      <c r="K372" s="7" t="inlineStr">
        <is>
          <t>2-4 Unit</t>
        </is>
      </c>
      <c r="L372" s="7" t="inlineStr">
        <is>
          <t>Apex Funding</t>
        </is>
      </c>
      <c r="M372" s="7" t="inlineStr">
        <is>
          <t>Pier Asset Mgmt</t>
        </is>
      </c>
    </row>
    <row r="373">
      <c r="A373" s="5" t="inlineStr">
        <is>
          <t>L100368</t>
        </is>
      </c>
      <c r="B373" s="16" t="n">
        <v>260617</v>
      </c>
      <c r="C373" s="16" t="n">
        <v>248987.83</v>
      </c>
      <c r="D373" s="26" t="n">
        <v>6.664</v>
      </c>
      <c r="E373" s="6" t="n">
        <v>666</v>
      </c>
      <c r="F373" s="11" t="n">
        <v>72.40000000000001</v>
      </c>
      <c r="G373" s="11" t="n">
        <v>28.5</v>
      </c>
      <c r="H373" s="6" t="n">
        <v>45</v>
      </c>
      <c r="I373" s="6" t="n">
        <v>315</v>
      </c>
      <c r="J373" s="5" t="inlineStr">
        <is>
          <t>WA</t>
        </is>
      </c>
      <c r="K373" s="5" t="inlineStr">
        <is>
          <t>SFR</t>
        </is>
      </c>
      <c r="L373" s="5" t="inlineStr">
        <is>
          <t>Apex Funding</t>
        </is>
      </c>
      <c r="M373" s="5" t="inlineStr">
        <is>
          <t>Northgate Servicing</t>
        </is>
      </c>
    </row>
    <row r="374">
      <c r="A374" s="7" t="inlineStr">
        <is>
          <t>L100369</t>
        </is>
      </c>
      <c r="B374" s="8" t="n">
        <v>326287.71</v>
      </c>
      <c r="C374" s="8" t="n">
        <v>325931.98</v>
      </c>
      <c r="D374" s="27" t="n">
        <v>5.521</v>
      </c>
      <c r="E374" s="10" t="n">
        <v>758</v>
      </c>
      <c r="F374" s="12" t="n">
        <v>82.8</v>
      </c>
      <c r="G374" s="12" t="n">
        <v>48.9</v>
      </c>
      <c r="H374" s="10" t="n">
        <v>1</v>
      </c>
      <c r="I374" s="10" t="n">
        <v>359</v>
      </c>
      <c r="J374" s="7" t="inlineStr">
        <is>
          <t>FL</t>
        </is>
      </c>
      <c r="K374" s="7" t="inlineStr">
        <is>
          <t>Multifamily</t>
        </is>
      </c>
      <c r="L374" s="7" t="inlineStr">
        <is>
          <t>Coastal Mortgage Co</t>
        </is>
      </c>
      <c r="M374" s="7" t="inlineStr">
        <is>
          <t>Summit Loan Servicing</t>
        </is>
      </c>
    </row>
    <row r="375">
      <c r="A375" s="5" t="inlineStr">
        <is>
          <t>L100370</t>
        </is>
      </c>
      <c r="B375" s="16" t="n">
        <v>243774.55</v>
      </c>
      <c r="C375" s="16" t="n">
        <v>240081.39</v>
      </c>
      <c r="D375" s="26" t="n">
        <v>6.807</v>
      </c>
      <c r="E375" s="6" t="n">
        <v>654</v>
      </c>
      <c r="F375" s="11" t="n">
        <v>55.3</v>
      </c>
      <c r="G375" s="11" t="n">
        <v>41</v>
      </c>
      <c r="H375" s="6" t="n">
        <v>17</v>
      </c>
      <c r="I375" s="6" t="n">
        <v>343</v>
      </c>
      <c r="J375" s="5" t="inlineStr">
        <is>
          <t>FL</t>
        </is>
      </c>
      <c r="K375" s="5" t="inlineStr">
        <is>
          <t>2-4 Unit</t>
        </is>
      </c>
      <c r="L375" s="5" t="inlineStr">
        <is>
          <t>Apex Funding</t>
        </is>
      </c>
      <c r="M375" s="5" t="inlineStr">
        <is>
          <t>Pier Asset Mgmt</t>
        </is>
      </c>
    </row>
    <row r="376">
      <c r="A376" s="7" t="inlineStr">
        <is>
          <t>L100371</t>
        </is>
      </c>
      <c r="B376" s="8" t="n">
        <v>386596.27</v>
      </c>
      <c r="C376" s="8" t="n">
        <v>335802.08</v>
      </c>
      <c r="D376" s="27" t="n">
        <v>5.976</v>
      </c>
      <c r="E376" s="10" t="n">
        <v>702</v>
      </c>
      <c r="F376" s="12" t="n">
        <v>66.90000000000001</v>
      </c>
      <c r="G376" s="12" t="n">
        <v>53</v>
      </c>
      <c r="H376" s="10" t="n">
        <v>35</v>
      </c>
      <c r="I376" s="10" t="n">
        <v>145</v>
      </c>
      <c r="J376" s="7" t="inlineStr">
        <is>
          <t>GA</t>
        </is>
      </c>
      <c r="K376" s="7" t="inlineStr">
        <is>
          <t>2-4 Unit</t>
        </is>
      </c>
      <c r="L376" s="7" t="inlineStr">
        <is>
          <t>Meridian Home Loans</t>
        </is>
      </c>
      <c r="M376" s="7" t="inlineStr">
        <is>
          <t>Northgate Servicing</t>
        </is>
      </c>
    </row>
    <row r="377">
      <c r="A377" s="5" t="inlineStr">
        <is>
          <t>L100372</t>
        </is>
      </c>
      <c r="B377" s="16" t="n">
        <v>327707.88</v>
      </c>
      <c r="C377" s="16" t="n">
        <v>312319.85</v>
      </c>
      <c r="D377" s="26" t="n">
        <v>6.515</v>
      </c>
      <c r="E377" s="6" t="n">
        <v>709</v>
      </c>
      <c r="F377" s="11" t="n">
        <v>60.4</v>
      </c>
      <c r="G377" s="11" t="n">
        <v>32.4</v>
      </c>
      <c r="H377" s="6" t="n">
        <v>46</v>
      </c>
      <c r="I377" s="6" t="n">
        <v>314</v>
      </c>
      <c r="J377" s="5" t="inlineStr">
        <is>
          <t>NC</t>
        </is>
      </c>
      <c r="K377" s="5" t="inlineStr">
        <is>
          <t>SFR</t>
        </is>
      </c>
      <c r="L377" s="5" t="inlineStr">
        <is>
          <t>Coastal Mortgage Co</t>
        </is>
      </c>
      <c r="M377" s="5" t="inlineStr">
        <is>
          <t>Summit Loan Servicing</t>
        </is>
      </c>
    </row>
    <row r="378">
      <c r="A378" s="7" t="inlineStr">
        <is>
          <t>L100373</t>
        </is>
      </c>
      <c r="B378" s="8" t="n">
        <v>325994.9</v>
      </c>
      <c r="C378" s="8" t="n">
        <v>323825.63</v>
      </c>
      <c r="D378" s="27" t="n">
        <v>7.646</v>
      </c>
      <c r="E378" s="10" t="n">
        <v>803</v>
      </c>
      <c r="F378" s="12" t="n">
        <v>95.3</v>
      </c>
      <c r="G378" s="12" t="n">
        <v>37</v>
      </c>
      <c r="H378" s="10" t="n">
        <v>9</v>
      </c>
      <c r="I378" s="10" t="n">
        <v>351</v>
      </c>
      <c r="J378" s="7" t="inlineStr">
        <is>
          <t>NY</t>
        </is>
      </c>
      <c r="K378" s="7" t="inlineStr">
        <is>
          <t>SFR</t>
        </is>
      </c>
      <c r="L378" s="7" t="inlineStr">
        <is>
          <t>Highline Capital</t>
        </is>
      </c>
      <c r="M378" s="7" t="inlineStr">
        <is>
          <t>Northgate Servicing</t>
        </is>
      </c>
    </row>
    <row r="379">
      <c r="A379" s="5" t="inlineStr">
        <is>
          <t>L100374</t>
        </is>
      </c>
      <c r="B379" s="16" t="n">
        <v>294767.08</v>
      </c>
      <c r="C379" s="16" t="n">
        <v>260313.87</v>
      </c>
      <c r="D379" s="26" t="n">
        <v>6.249</v>
      </c>
      <c r="E379" s="6" t="n">
        <v>695</v>
      </c>
      <c r="F379" s="11" t="n">
        <v>84.5</v>
      </c>
      <c r="G379" s="11" t="n">
        <v>30.7</v>
      </c>
      <c r="H379" s="6" t="n">
        <v>32</v>
      </c>
      <c r="I379" s="6" t="n">
        <v>148</v>
      </c>
      <c r="J379" s="5" t="inlineStr">
        <is>
          <t>AZ</t>
        </is>
      </c>
      <c r="K379" s="5" t="inlineStr">
        <is>
          <t>Condo</t>
        </is>
      </c>
      <c r="L379" s="5" t="inlineStr">
        <is>
          <t>Apex Funding</t>
        </is>
      </c>
      <c r="M379" s="5" t="inlineStr">
        <is>
          <t>Summit Loan Servicing</t>
        </is>
      </c>
    </row>
    <row r="380">
      <c r="A380" s="7" t="inlineStr">
        <is>
          <t>L100375</t>
        </is>
      </c>
      <c r="B380" s="8" t="n">
        <v>548355.23</v>
      </c>
      <c r="C380" s="8" t="n">
        <v>532718.1899999999</v>
      </c>
      <c r="D380" s="27" t="n">
        <v>7.228</v>
      </c>
      <c r="E380" s="10" t="n">
        <v>581</v>
      </c>
      <c r="F380" s="12" t="n">
        <v>47.6</v>
      </c>
      <c r="G380" s="12" t="n">
        <v>37.1</v>
      </c>
      <c r="H380" s="10" t="n">
        <v>9</v>
      </c>
      <c r="I380" s="10" t="n">
        <v>171</v>
      </c>
      <c r="J380" s="7" t="inlineStr">
        <is>
          <t>AZ</t>
        </is>
      </c>
      <c r="K380" s="7" t="inlineStr">
        <is>
          <t>Multifamily</t>
        </is>
      </c>
      <c r="L380" s="7" t="inlineStr">
        <is>
          <t>Apex Funding</t>
        </is>
      </c>
      <c r="M380" s="7" t="inlineStr">
        <is>
          <t>Northgate Servicing</t>
        </is>
      </c>
    </row>
    <row r="381">
      <c r="A381" s="5" t="inlineStr">
        <is>
          <t>L100376</t>
        </is>
      </c>
      <c r="B381" s="16" t="n">
        <v>225978.11</v>
      </c>
      <c r="C381" s="16" t="n">
        <v>223386.05</v>
      </c>
      <c r="D381" s="26" t="n">
        <v>4.787</v>
      </c>
      <c r="E381" s="6" t="n">
        <v>743</v>
      </c>
      <c r="F381" s="11" t="n">
        <v>55.8</v>
      </c>
      <c r="G381" s="11" t="n">
        <v>21.8</v>
      </c>
      <c r="H381" s="6" t="n">
        <v>3</v>
      </c>
      <c r="I381" s="6" t="n">
        <v>177</v>
      </c>
      <c r="J381" s="5" t="inlineStr">
        <is>
          <t>TX</t>
        </is>
      </c>
      <c r="K381" s="5" t="inlineStr">
        <is>
          <t>SFR</t>
        </is>
      </c>
      <c r="L381" s="5" t="inlineStr">
        <is>
          <t>Highline Capital</t>
        </is>
      </c>
      <c r="M381" s="5" t="inlineStr">
        <is>
          <t>Pier Asset Mgmt</t>
        </is>
      </c>
    </row>
    <row r="382">
      <c r="A382" s="7" t="inlineStr">
        <is>
          <t>L100377</t>
        </is>
      </c>
      <c r="B382" s="8" t="n">
        <v>120423.17</v>
      </c>
      <c r="C382" s="8" t="n">
        <v>117897.53</v>
      </c>
      <c r="D382" s="27" t="n">
        <v>5.977</v>
      </c>
      <c r="E382" s="10" t="n">
        <v>677</v>
      </c>
      <c r="F382" s="12" t="n">
        <v>72.40000000000001</v>
      </c>
      <c r="G382" s="12" t="n">
        <v>41.5</v>
      </c>
      <c r="H382" s="10" t="n">
        <v>20</v>
      </c>
      <c r="I382" s="10" t="n">
        <v>340</v>
      </c>
      <c r="J382" s="7" t="inlineStr">
        <is>
          <t>WA</t>
        </is>
      </c>
      <c r="K382" s="7" t="inlineStr">
        <is>
          <t>SFR</t>
        </is>
      </c>
      <c r="L382" s="7" t="inlineStr">
        <is>
          <t>Apex Funding</t>
        </is>
      </c>
      <c r="M382" s="7" t="inlineStr">
        <is>
          <t>Summit Loan Servicing</t>
        </is>
      </c>
    </row>
    <row r="383">
      <c r="A383" s="5" t="inlineStr">
        <is>
          <t>L100378</t>
        </is>
      </c>
      <c r="B383" s="16" t="n">
        <v>425699.52</v>
      </c>
      <c r="C383" s="16" t="n">
        <v>413937.82</v>
      </c>
      <c r="D383" s="26" t="n">
        <v>6.425</v>
      </c>
      <c r="E383" s="6" t="n">
        <v>717</v>
      </c>
      <c r="F383" s="11" t="n">
        <v>68.3</v>
      </c>
      <c r="G383" s="11" t="n">
        <v>38.6</v>
      </c>
      <c r="H383" s="6" t="n">
        <v>28</v>
      </c>
      <c r="I383" s="6" t="n">
        <v>332</v>
      </c>
      <c r="J383" s="5" t="inlineStr">
        <is>
          <t>TX</t>
        </is>
      </c>
      <c r="K383" s="5" t="inlineStr">
        <is>
          <t>SFR</t>
        </is>
      </c>
      <c r="L383" s="5" t="inlineStr">
        <is>
          <t>Apex Funding</t>
        </is>
      </c>
      <c r="M383" s="5" t="inlineStr">
        <is>
          <t>Pier Asset Mgmt</t>
        </is>
      </c>
    </row>
    <row r="384">
      <c r="A384" s="7" t="inlineStr">
        <is>
          <t>L100379</t>
        </is>
      </c>
      <c r="B384" s="8" t="n">
        <v>206861.59</v>
      </c>
      <c r="C384" s="8" t="n">
        <v>205031.39</v>
      </c>
      <c r="D384" s="27" t="n">
        <v>8.131</v>
      </c>
      <c r="E384" s="10" t="n">
        <v>710</v>
      </c>
      <c r="F384" s="12" t="n">
        <v>58.1</v>
      </c>
      <c r="G384" s="12" t="n">
        <v>35.5</v>
      </c>
      <c r="H384" s="10" t="n">
        <v>13</v>
      </c>
      <c r="I384" s="10" t="n">
        <v>347</v>
      </c>
      <c r="J384" s="7" t="inlineStr">
        <is>
          <t>GA</t>
        </is>
      </c>
      <c r="K384" s="7" t="inlineStr">
        <is>
          <t>SFR</t>
        </is>
      </c>
      <c r="L384" s="7" t="inlineStr">
        <is>
          <t>Coastal Mortgage Co</t>
        </is>
      </c>
      <c r="M384" s="7" t="inlineStr">
        <is>
          <t>Summit Loan Servicing</t>
        </is>
      </c>
    </row>
    <row r="385">
      <c r="A385" s="5" t="inlineStr">
        <is>
          <t>L100380</t>
        </is>
      </c>
      <c r="B385" s="16" t="n">
        <v>252144.64</v>
      </c>
      <c r="C385" s="16" t="n">
        <v>235872.72</v>
      </c>
      <c r="D385" s="26" t="n">
        <v>4.636</v>
      </c>
      <c r="E385" s="6" t="n">
        <v>700</v>
      </c>
      <c r="F385" s="11" t="n">
        <v>97</v>
      </c>
      <c r="G385" s="11" t="n">
        <v>32.9</v>
      </c>
      <c r="H385" s="6" t="n">
        <v>46</v>
      </c>
      <c r="I385" s="6" t="n">
        <v>314</v>
      </c>
      <c r="J385" s="5" t="inlineStr">
        <is>
          <t>IL</t>
        </is>
      </c>
      <c r="K385" s="5" t="inlineStr">
        <is>
          <t>2-4 Unit</t>
        </is>
      </c>
      <c r="L385" s="5" t="inlineStr">
        <is>
          <t>Highline Capital</t>
        </is>
      </c>
      <c r="M385" s="5" t="inlineStr">
        <is>
          <t>Northgate Servicing</t>
        </is>
      </c>
    </row>
    <row r="386">
      <c r="A386" s="7" t="inlineStr">
        <is>
          <t>L100381</t>
        </is>
      </c>
      <c r="B386" s="8" t="n">
        <v>383978.85</v>
      </c>
      <c r="C386" s="8" t="n">
        <v>343819.94</v>
      </c>
      <c r="D386" s="27" t="n">
        <v>6.313</v>
      </c>
      <c r="E386" s="10" t="n">
        <v>758</v>
      </c>
      <c r="F386" s="12" t="n">
        <v>77.8</v>
      </c>
      <c r="G386" s="12" t="n">
        <v>28.8</v>
      </c>
      <c r="H386" s="10" t="n">
        <v>29</v>
      </c>
      <c r="I386" s="10" t="n">
        <v>151</v>
      </c>
      <c r="J386" s="7" t="inlineStr">
        <is>
          <t>IL</t>
        </is>
      </c>
      <c r="K386" s="7" t="inlineStr">
        <is>
          <t>SFR</t>
        </is>
      </c>
      <c r="L386" s="7" t="inlineStr">
        <is>
          <t>Apex Funding</t>
        </is>
      </c>
      <c r="M386" s="7" t="inlineStr">
        <is>
          <t>Pier Asset Mgmt</t>
        </is>
      </c>
    </row>
    <row r="387">
      <c r="A387" s="5" t="inlineStr">
        <is>
          <t>L100382</t>
        </is>
      </c>
      <c r="B387" s="16" t="n">
        <v>138580.85</v>
      </c>
      <c r="C387" s="16" t="n">
        <v>136372.05</v>
      </c>
      <c r="D387" s="26" t="n">
        <v>7.711</v>
      </c>
      <c r="E387" s="6" t="n">
        <v>631</v>
      </c>
      <c r="F387" s="11" t="n">
        <v>79.7</v>
      </c>
      <c r="G387" s="11" t="n">
        <v>41.8</v>
      </c>
      <c r="H387" s="6" t="n">
        <v>21</v>
      </c>
      <c r="I387" s="6" t="n">
        <v>339</v>
      </c>
      <c r="J387" s="5" t="inlineStr">
        <is>
          <t>TX</t>
        </is>
      </c>
      <c r="K387" s="5" t="inlineStr">
        <is>
          <t>SFR</t>
        </is>
      </c>
      <c r="L387" s="5" t="inlineStr">
        <is>
          <t>Apex Funding</t>
        </is>
      </c>
      <c r="M387" s="5" t="inlineStr">
        <is>
          <t>Summit Loan Servicing</t>
        </is>
      </c>
    </row>
    <row r="388">
      <c r="A388" s="7" t="inlineStr">
        <is>
          <t>L100383</t>
        </is>
      </c>
      <c r="B388" s="8" t="n">
        <v>156674.15</v>
      </c>
      <c r="C388" s="8" t="n">
        <v>143269.49</v>
      </c>
      <c r="D388" s="27" t="n">
        <v>5.693</v>
      </c>
      <c r="E388" s="10" t="n">
        <v>687</v>
      </c>
      <c r="F388" s="12" t="n">
        <v>65.7</v>
      </c>
      <c r="G388" s="12" t="n">
        <v>26.6</v>
      </c>
      <c r="H388" s="10" t="n">
        <v>23</v>
      </c>
      <c r="I388" s="10" t="n">
        <v>157</v>
      </c>
      <c r="J388" s="7" t="inlineStr">
        <is>
          <t>NY</t>
        </is>
      </c>
      <c r="K388" s="7" t="inlineStr">
        <is>
          <t>Condo</t>
        </is>
      </c>
      <c r="L388" s="7" t="inlineStr">
        <is>
          <t>Meridian Home Loans</t>
        </is>
      </c>
      <c r="M388" s="7" t="inlineStr">
        <is>
          <t>Pier Asset Mgmt</t>
        </is>
      </c>
    </row>
    <row r="389">
      <c r="A389" s="5" t="inlineStr">
        <is>
          <t>L100384</t>
        </is>
      </c>
      <c r="B389" s="16" t="n">
        <v>138628.47</v>
      </c>
      <c r="C389" s="16" t="n">
        <v>135547.09</v>
      </c>
      <c r="D389" s="26" t="n">
        <v>6.208</v>
      </c>
      <c r="E389" s="6" t="n">
        <v>753</v>
      </c>
      <c r="F389" s="11" t="n">
        <v>82.7</v>
      </c>
      <c r="G389" s="11" t="n">
        <v>40.1</v>
      </c>
      <c r="H389" s="6" t="n">
        <v>22</v>
      </c>
      <c r="I389" s="6" t="n">
        <v>338</v>
      </c>
      <c r="J389" s="5" t="inlineStr">
        <is>
          <t>CA</t>
        </is>
      </c>
      <c r="K389" s="5" t="inlineStr">
        <is>
          <t>SFR</t>
        </is>
      </c>
      <c r="L389" s="5" t="inlineStr">
        <is>
          <t>Highline Capital</t>
        </is>
      </c>
      <c r="M389" s="5" t="inlineStr">
        <is>
          <t>Summit Loan Servicing</t>
        </is>
      </c>
    </row>
    <row r="390">
      <c r="A390" s="7" t="inlineStr">
        <is>
          <t>L100385</t>
        </is>
      </c>
      <c r="B390" s="8" t="n">
        <v>183882.51</v>
      </c>
      <c r="C390" s="8" t="n">
        <v>182909.58</v>
      </c>
      <c r="D390" s="27" t="n">
        <v>6.699</v>
      </c>
      <c r="E390" s="10" t="n">
        <v>681</v>
      </c>
      <c r="F390" s="12" t="n">
        <v>69.40000000000001</v>
      </c>
      <c r="G390" s="12" t="n">
        <v>52.6</v>
      </c>
      <c r="H390" s="10" t="n">
        <v>6</v>
      </c>
      <c r="I390" s="10" t="n">
        <v>354</v>
      </c>
      <c r="J390" s="7" t="inlineStr">
        <is>
          <t>WA</t>
        </is>
      </c>
      <c r="K390" s="7" t="inlineStr">
        <is>
          <t>SFR</t>
        </is>
      </c>
      <c r="L390" s="7" t="inlineStr">
        <is>
          <t>Coastal Mortgage Co</t>
        </is>
      </c>
      <c r="M390" s="7" t="inlineStr">
        <is>
          <t>Northgate Servicing</t>
        </is>
      </c>
    </row>
    <row r="391">
      <c r="A391" s="5" t="inlineStr">
        <is>
          <t>L100386</t>
        </is>
      </c>
      <c r="B391" s="16" t="n">
        <v>283189.85</v>
      </c>
      <c r="C391" s="16" t="n">
        <v>275270.22</v>
      </c>
      <c r="D391" s="26" t="n">
        <v>6.566</v>
      </c>
      <c r="E391" s="6" t="n">
        <v>627</v>
      </c>
      <c r="F391" s="11" t="n">
        <v>70.59999999999999</v>
      </c>
      <c r="G391" s="11" t="n">
        <v>47.9</v>
      </c>
      <c r="H391" s="6" t="n">
        <v>29</v>
      </c>
      <c r="I391" s="6" t="n">
        <v>331</v>
      </c>
      <c r="J391" s="5" t="inlineStr">
        <is>
          <t>TX</t>
        </is>
      </c>
      <c r="K391" s="5" t="inlineStr">
        <is>
          <t>SFR</t>
        </is>
      </c>
      <c r="L391" s="5" t="inlineStr">
        <is>
          <t>Coastal Mortgage Co</t>
        </is>
      </c>
      <c r="M391" s="5" t="inlineStr">
        <is>
          <t>Summit Loan Servicing</t>
        </is>
      </c>
    </row>
    <row r="392">
      <c r="A392" s="7" t="inlineStr">
        <is>
          <t>L100387</t>
        </is>
      </c>
      <c r="B392" s="8" t="n">
        <v>291695.5</v>
      </c>
      <c r="C392" s="8" t="n">
        <v>283215.75</v>
      </c>
      <c r="D392" s="27" t="n">
        <v>7.809</v>
      </c>
      <c r="E392" s="10" t="n">
        <v>752</v>
      </c>
      <c r="F392" s="12" t="n">
        <v>81.3</v>
      </c>
      <c r="G392" s="12" t="n">
        <v>24</v>
      </c>
      <c r="H392" s="10" t="n">
        <v>37</v>
      </c>
      <c r="I392" s="10" t="n">
        <v>323</v>
      </c>
      <c r="J392" s="7" t="inlineStr">
        <is>
          <t>IL</t>
        </is>
      </c>
      <c r="K392" s="7" t="inlineStr">
        <is>
          <t>SFR</t>
        </is>
      </c>
      <c r="L392" s="7" t="inlineStr">
        <is>
          <t>Meridian Home Loans</t>
        </is>
      </c>
      <c r="M392" s="7" t="inlineStr">
        <is>
          <t>Summit Loan Servicing</t>
        </is>
      </c>
    </row>
    <row r="393">
      <c r="A393" s="5" t="inlineStr">
        <is>
          <t>L100388</t>
        </is>
      </c>
      <c r="B393" s="16" t="n">
        <v>267452.15</v>
      </c>
      <c r="C393" s="16" t="n">
        <v>262641.2</v>
      </c>
      <c r="D393" s="26" t="n">
        <v>6.804</v>
      </c>
      <c r="E393" s="6" t="n">
        <v>777</v>
      </c>
      <c r="F393" s="11" t="n">
        <v>54.5</v>
      </c>
      <c r="G393" s="11" t="n">
        <v>31.7</v>
      </c>
      <c r="H393" s="6" t="n">
        <v>20</v>
      </c>
      <c r="I393" s="6" t="n">
        <v>340</v>
      </c>
      <c r="J393" s="5" t="inlineStr">
        <is>
          <t>FL</t>
        </is>
      </c>
      <c r="K393" s="5" t="inlineStr">
        <is>
          <t>Multifamily</t>
        </is>
      </c>
      <c r="L393" s="5" t="inlineStr">
        <is>
          <t>Meridian Home Loans</t>
        </is>
      </c>
      <c r="M393" s="5" t="inlineStr">
        <is>
          <t>Northgate Servicing</t>
        </is>
      </c>
    </row>
    <row r="394">
      <c r="A394" s="7" t="inlineStr">
        <is>
          <t>L100389</t>
        </is>
      </c>
      <c r="B394" s="8" t="n">
        <v>148083.55</v>
      </c>
      <c r="C394" s="8" t="n">
        <v>145669.98</v>
      </c>
      <c r="D394" s="27" t="n">
        <v>7.595</v>
      </c>
      <c r="E394" s="10" t="n">
        <v>713</v>
      </c>
      <c r="F394" s="12" t="n">
        <v>93.2</v>
      </c>
      <c r="G394" s="12" t="n">
        <v>39.4</v>
      </c>
      <c r="H394" s="10" t="n">
        <v>21</v>
      </c>
      <c r="I394" s="10" t="n">
        <v>339</v>
      </c>
      <c r="J394" s="7" t="inlineStr">
        <is>
          <t>TX</t>
        </is>
      </c>
      <c r="K394" s="7" t="inlineStr">
        <is>
          <t>Condo</t>
        </is>
      </c>
      <c r="L394" s="7" t="inlineStr">
        <is>
          <t>Meridian Home Loans</t>
        </is>
      </c>
      <c r="M394" s="7" t="inlineStr">
        <is>
          <t>Northgate Servicing</t>
        </is>
      </c>
    </row>
    <row r="395">
      <c r="A395" s="5" t="inlineStr">
        <is>
          <t>L100390</t>
        </is>
      </c>
      <c r="B395" s="16" t="n">
        <v>108170.48</v>
      </c>
      <c r="C395" s="16" t="n">
        <v>103086.38</v>
      </c>
      <c r="D395" s="26" t="n">
        <v>6.076</v>
      </c>
      <c r="E395" s="6" t="n">
        <v>607</v>
      </c>
      <c r="F395" s="11" t="n">
        <v>76.2</v>
      </c>
      <c r="G395" s="11" t="n">
        <v>35.4</v>
      </c>
      <c r="H395" s="6" t="n">
        <v>43</v>
      </c>
      <c r="I395" s="6" t="n">
        <v>317</v>
      </c>
      <c r="J395" s="5" t="inlineStr">
        <is>
          <t>NY</t>
        </is>
      </c>
      <c r="K395" s="5" t="inlineStr">
        <is>
          <t>Multifamily</t>
        </is>
      </c>
      <c r="L395" s="5" t="inlineStr">
        <is>
          <t>Meridian Home Loans</t>
        </is>
      </c>
      <c r="M395" s="5" t="inlineStr">
        <is>
          <t>Pier Asset Mgmt</t>
        </is>
      </c>
    </row>
    <row r="396">
      <c r="A396" s="7" t="inlineStr">
        <is>
          <t>L100391</t>
        </is>
      </c>
      <c r="B396" s="8" t="n">
        <v>247464.83</v>
      </c>
      <c r="C396" s="8" t="n">
        <v>239424.3</v>
      </c>
      <c r="D396" s="27" t="n">
        <v>5.734</v>
      </c>
      <c r="E396" s="10" t="n">
        <v>754</v>
      </c>
      <c r="F396" s="12" t="n">
        <v>89.40000000000001</v>
      </c>
      <c r="G396" s="12" t="n">
        <v>24.8</v>
      </c>
      <c r="H396" s="10" t="n">
        <v>29</v>
      </c>
      <c r="I396" s="10" t="n">
        <v>331</v>
      </c>
      <c r="J396" s="7" t="inlineStr">
        <is>
          <t>WA</t>
        </is>
      </c>
      <c r="K396" s="7" t="inlineStr">
        <is>
          <t>SFR</t>
        </is>
      </c>
      <c r="L396" s="7" t="inlineStr">
        <is>
          <t>Meridian Home Loans</t>
        </is>
      </c>
      <c r="M396" s="7" t="inlineStr">
        <is>
          <t>Summit Loan Servicing</t>
        </is>
      </c>
    </row>
    <row r="397">
      <c r="A397" s="5" t="inlineStr">
        <is>
          <t>L100392</t>
        </is>
      </c>
      <c r="B397" s="16" t="n">
        <v>205844.93</v>
      </c>
      <c r="C397" s="16" t="n">
        <v>202987.8</v>
      </c>
      <c r="D397" s="26" t="n">
        <v>6.197</v>
      </c>
      <c r="E397" s="6" t="n">
        <v>624</v>
      </c>
      <c r="F397" s="11" t="n">
        <v>61.1</v>
      </c>
      <c r="G397" s="11" t="n">
        <v>39.1</v>
      </c>
      <c r="H397" s="6" t="n">
        <v>14</v>
      </c>
      <c r="I397" s="6" t="n">
        <v>346</v>
      </c>
      <c r="J397" s="5" t="inlineStr">
        <is>
          <t>IL</t>
        </is>
      </c>
      <c r="K397" s="5" t="inlineStr">
        <is>
          <t>Condo</t>
        </is>
      </c>
      <c r="L397" s="5" t="inlineStr">
        <is>
          <t>Coastal Mortgage Co</t>
        </is>
      </c>
      <c r="M397" s="5" t="inlineStr">
        <is>
          <t>Northgate Servicing</t>
        </is>
      </c>
    </row>
    <row r="398">
      <c r="A398" s="7" t="inlineStr">
        <is>
          <t>L100393</t>
        </is>
      </c>
      <c r="B398" s="8" t="n">
        <v>285154.1</v>
      </c>
      <c r="C398" s="8" t="n">
        <v>284833.49</v>
      </c>
      <c r="D398" s="27" t="n">
        <v>5.357</v>
      </c>
      <c r="E398" s="10" t="n">
        <v>732</v>
      </c>
      <c r="F398" s="12" t="n">
        <v>62.9</v>
      </c>
      <c r="G398" s="12" t="n">
        <v>35.9</v>
      </c>
      <c r="H398" s="10" t="n">
        <v>1</v>
      </c>
      <c r="I398" s="10" t="n">
        <v>359</v>
      </c>
      <c r="J398" s="7" t="inlineStr">
        <is>
          <t>WA</t>
        </is>
      </c>
      <c r="K398" s="7" t="inlineStr">
        <is>
          <t>SFR</t>
        </is>
      </c>
      <c r="L398" s="7" t="inlineStr">
        <is>
          <t>Highline Capital</t>
        </is>
      </c>
      <c r="M398" s="7" t="inlineStr">
        <is>
          <t>Summit Loan Servicing</t>
        </is>
      </c>
    </row>
    <row r="399">
      <c r="A399" s="5" t="inlineStr">
        <is>
          <t>L100394</t>
        </is>
      </c>
      <c r="B399" s="16" t="n">
        <v>310420.7</v>
      </c>
      <c r="C399" s="16" t="n">
        <v>298978.14</v>
      </c>
      <c r="D399" s="26" t="n">
        <v>6.835</v>
      </c>
      <c r="E399" s="6" t="n">
        <v>666</v>
      </c>
      <c r="F399" s="11" t="n">
        <v>60.1</v>
      </c>
      <c r="G399" s="11" t="n">
        <v>51.3</v>
      </c>
      <c r="H399" s="6" t="n">
        <v>39</v>
      </c>
      <c r="I399" s="6" t="n">
        <v>321</v>
      </c>
      <c r="J399" s="5" t="inlineStr">
        <is>
          <t>OH</t>
        </is>
      </c>
      <c r="K399" s="5" t="inlineStr">
        <is>
          <t>Condo</t>
        </is>
      </c>
      <c r="L399" s="5" t="inlineStr">
        <is>
          <t>Highline Capital</t>
        </is>
      </c>
      <c r="M399" s="5" t="inlineStr">
        <is>
          <t>Pier Asset Mgmt</t>
        </is>
      </c>
    </row>
    <row r="400">
      <c r="A400" s="7" t="inlineStr">
        <is>
          <t>L100395</t>
        </is>
      </c>
      <c r="B400" s="8" t="n">
        <v>254838.3</v>
      </c>
      <c r="C400" s="8" t="n">
        <v>246726.46</v>
      </c>
      <c r="D400" s="27" t="n">
        <v>6.053</v>
      </c>
      <c r="E400" s="10" t="n">
        <v>651</v>
      </c>
      <c r="F400" s="12" t="n">
        <v>77</v>
      </c>
      <c r="G400" s="12" t="n">
        <v>34</v>
      </c>
      <c r="H400" s="10" t="n">
        <v>30</v>
      </c>
      <c r="I400" s="10" t="n">
        <v>330</v>
      </c>
      <c r="J400" s="7" t="inlineStr">
        <is>
          <t>IL</t>
        </is>
      </c>
      <c r="K400" s="7" t="inlineStr">
        <is>
          <t>SFR</t>
        </is>
      </c>
      <c r="L400" s="7" t="inlineStr">
        <is>
          <t>Meridian Home Loans</t>
        </is>
      </c>
      <c r="M400" s="7" t="inlineStr">
        <is>
          <t>Summit Loan Servicing</t>
        </is>
      </c>
    </row>
    <row r="401">
      <c r="A401" s="5" t="inlineStr">
        <is>
          <t>L100396</t>
        </is>
      </c>
      <c r="B401" s="16" t="n">
        <v>316806.54</v>
      </c>
      <c r="C401" s="16" t="n">
        <v>306246.97</v>
      </c>
      <c r="D401" s="26" t="n">
        <v>5.795</v>
      </c>
      <c r="E401" s="6" t="n">
        <v>691</v>
      </c>
      <c r="F401" s="11" t="n">
        <v>74.8</v>
      </c>
      <c r="G401" s="11" t="n">
        <v>45.3</v>
      </c>
      <c r="H401" s="6" t="n">
        <v>30</v>
      </c>
      <c r="I401" s="6" t="n">
        <v>330</v>
      </c>
      <c r="J401" s="5" t="inlineStr">
        <is>
          <t>WA</t>
        </is>
      </c>
      <c r="K401" s="5" t="inlineStr">
        <is>
          <t>SFR</t>
        </is>
      </c>
      <c r="L401" s="5" t="inlineStr">
        <is>
          <t>Coastal Mortgage Co</t>
        </is>
      </c>
      <c r="M401" s="5" t="inlineStr">
        <is>
          <t>Pier Asset Mgmt</t>
        </is>
      </c>
    </row>
    <row r="402">
      <c r="A402" s="7" t="inlineStr">
        <is>
          <t>L100397</t>
        </is>
      </c>
      <c r="B402" s="8" t="n">
        <v>263082.77</v>
      </c>
      <c r="C402" s="8" t="n">
        <v>259854.56</v>
      </c>
      <c r="D402" s="27" t="n">
        <v>6.849</v>
      </c>
      <c r="E402" s="10" t="n">
        <v>705</v>
      </c>
      <c r="F402" s="12" t="n">
        <v>68.40000000000001</v>
      </c>
      <c r="G402" s="12" t="n">
        <v>25.9</v>
      </c>
      <c r="H402" s="10" t="n">
        <v>14</v>
      </c>
      <c r="I402" s="10" t="n">
        <v>346</v>
      </c>
      <c r="J402" s="7" t="inlineStr">
        <is>
          <t>NY</t>
        </is>
      </c>
      <c r="K402" s="7" t="inlineStr">
        <is>
          <t>SFR</t>
        </is>
      </c>
      <c r="L402" s="7" t="inlineStr">
        <is>
          <t>Highline Capital</t>
        </is>
      </c>
      <c r="M402" s="7" t="inlineStr">
        <is>
          <t>Summit Loan Servicing</t>
        </is>
      </c>
    </row>
    <row r="403">
      <c r="A403" s="5" t="inlineStr">
        <is>
          <t>L100398</t>
        </is>
      </c>
      <c r="B403" s="16" t="n">
        <v>292296.11</v>
      </c>
      <c r="C403" s="16" t="n">
        <v>289292.75</v>
      </c>
      <c r="D403" s="26" t="n">
        <v>5.371</v>
      </c>
      <c r="E403" s="6" t="n">
        <v>680</v>
      </c>
      <c r="F403" s="11" t="n">
        <v>61.8</v>
      </c>
      <c r="G403" s="11" t="n">
        <v>27.8</v>
      </c>
      <c r="H403" s="6" t="n">
        <v>9</v>
      </c>
      <c r="I403" s="6" t="n">
        <v>351</v>
      </c>
      <c r="J403" s="5" t="inlineStr">
        <is>
          <t>GA</t>
        </is>
      </c>
      <c r="K403" s="5" t="inlineStr">
        <is>
          <t>2-4 Unit</t>
        </is>
      </c>
      <c r="L403" s="5" t="inlineStr">
        <is>
          <t>Apex Funding</t>
        </is>
      </c>
      <c r="M403" s="5" t="inlineStr">
        <is>
          <t>Northgate Servicing</t>
        </is>
      </c>
    </row>
    <row r="404">
      <c r="A404" s="7" t="inlineStr">
        <is>
          <t>L100399</t>
        </is>
      </c>
      <c r="B404" s="8" t="n">
        <v>189731.34</v>
      </c>
      <c r="C404" s="8" t="n">
        <v>174468.9</v>
      </c>
      <c r="D404" s="27" t="n">
        <v>7.093</v>
      </c>
      <c r="E404" s="10" t="n">
        <v>747</v>
      </c>
      <c r="F404" s="12" t="n">
        <v>58.8</v>
      </c>
      <c r="G404" s="12" t="n">
        <v>41.8</v>
      </c>
      <c r="H404" s="10" t="n">
        <v>24</v>
      </c>
      <c r="I404" s="10" t="n">
        <v>156</v>
      </c>
      <c r="J404" s="7" t="inlineStr">
        <is>
          <t>NC</t>
        </is>
      </c>
      <c r="K404" s="7" t="inlineStr">
        <is>
          <t>2-4 Unit</t>
        </is>
      </c>
      <c r="L404" s="7" t="inlineStr">
        <is>
          <t>Highline Capital</t>
        </is>
      </c>
      <c r="M404" s="7" t="inlineStr">
        <is>
          <t>Summit Loan Servicing</t>
        </is>
      </c>
    </row>
    <row r="405">
      <c r="A405" s="5" t="inlineStr">
        <is>
          <t>L100400</t>
        </is>
      </c>
      <c r="B405" s="16" t="n">
        <v>228008</v>
      </c>
      <c r="C405" s="16" t="n">
        <v>219030.46</v>
      </c>
      <c r="D405" s="26" t="n">
        <v>5.969</v>
      </c>
      <c r="E405" s="6" t="n">
        <v>690</v>
      </c>
      <c r="F405" s="11" t="n">
        <v>73.40000000000001</v>
      </c>
      <c r="G405" s="11" t="n">
        <v>44.7</v>
      </c>
      <c r="H405" s="6" t="n">
        <v>36</v>
      </c>
      <c r="I405" s="6" t="n">
        <v>324</v>
      </c>
      <c r="J405" s="5" t="inlineStr">
        <is>
          <t>GA</t>
        </is>
      </c>
      <c r="K405" s="5" t="inlineStr">
        <is>
          <t>SFR</t>
        </is>
      </c>
      <c r="L405" s="5" t="inlineStr">
        <is>
          <t>Coastal Mortgage Co</t>
        </is>
      </c>
      <c r="M405" s="5" t="inlineStr">
        <is>
          <t>Pier Asset Mgmt</t>
        </is>
      </c>
    </row>
    <row r="406">
      <c r="A406" s="7" t="inlineStr">
        <is>
          <t>L100401</t>
        </is>
      </c>
      <c r="B406" s="8" t="n">
        <v>260113.05</v>
      </c>
      <c r="C406" s="8" t="n">
        <v>257266.49</v>
      </c>
      <c r="D406" s="27" t="n">
        <v>7.443</v>
      </c>
      <c r="E406" s="10" t="n">
        <v>769</v>
      </c>
      <c r="F406" s="12" t="n">
        <v>68.40000000000001</v>
      </c>
      <c r="G406" s="12" t="n">
        <v>28.3</v>
      </c>
      <c r="H406" s="10" t="n">
        <v>14</v>
      </c>
      <c r="I406" s="10" t="n">
        <v>346</v>
      </c>
      <c r="J406" s="7" t="inlineStr">
        <is>
          <t>OH</t>
        </is>
      </c>
      <c r="K406" s="7" t="inlineStr">
        <is>
          <t>SFR</t>
        </is>
      </c>
      <c r="L406" s="7" t="inlineStr">
        <is>
          <t>Meridian Home Loans</t>
        </is>
      </c>
      <c r="M406" s="7" t="inlineStr">
        <is>
          <t>Summit Loan Servicing</t>
        </is>
      </c>
    </row>
    <row r="407">
      <c r="A407" s="5" t="inlineStr">
        <is>
          <t>L100402</t>
        </is>
      </c>
      <c r="B407" s="16" t="n">
        <v>323574.6</v>
      </c>
      <c r="C407" s="16" t="n">
        <v>315091.94</v>
      </c>
      <c r="D407" s="26" t="n">
        <v>6.047</v>
      </c>
      <c r="E407" s="6" t="n">
        <v>730</v>
      </c>
      <c r="F407" s="11" t="n">
        <v>65.8</v>
      </c>
      <c r="G407" s="11" t="n">
        <v>36.2</v>
      </c>
      <c r="H407" s="6" t="n">
        <v>25</v>
      </c>
      <c r="I407" s="6" t="n">
        <v>335</v>
      </c>
      <c r="J407" s="5" t="inlineStr">
        <is>
          <t>TX</t>
        </is>
      </c>
      <c r="K407" s="5" t="inlineStr">
        <is>
          <t>Condo</t>
        </is>
      </c>
      <c r="L407" s="5" t="inlineStr">
        <is>
          <t>Meridian Home Loans</t>
        </is>
      </c>
      <c r="M407" s="5" t="inlineStr">
        <is>
          <t>Pier Asset Mgmt</t>
        </is>
      </c>
    </row>
    <row r="408">
      <c r="A408" s="7" t="inlineStr">
        <is>
          <t>L100403</t>
        </is>
      </c>
      <c r="B408" s="8" t="n">
        <v>211544.49</v>
      </c>
      <c r="C408" s="8" t="n">
        <v>202147.55</v>
      </c>
      <c r="D408" s="27" t="n">
        <v>6.969</v>
      </c>
      <c r="E408" s="10" t="n">
        <v>677</v>
      </c>
      <c r="F408" s="12" t="n">
        <v>92.59999999999999</v>
      </c>
      <c r="G408" s="12" t="n">
        <v>24.9</v>
      </c>
      <c r="H408" s="10" t="n">
        <v>47</v>
      </c>
      <c r="I408" s="10" t="n">
        <v>313</v>
      </c>
      <c r="J408" s="7" t="inlineStr">
        <is>
          <t>IL</t>
        </is>
      </c>
      <c r="K408" s="7" t="inlineStr">
        <is>
          <t>SFR</t>
        </is>
      </c>
      <c r="L408" s="7" t="inlineStr">
        <is>
          <t>Apex Funding</t>
        </is>
      </c>
      <c r="M408" s="7" t="inlineStr">
        <is>
          <t>Pier Asset Mgmt</t>
        </is>
      </c>
    </row>
    <row r="409">
      <c r="A409" s="5" t="inlineStr">
        <is>
          <t>L100404</t>
        </is>
      </c>
      <c r="B409" s="16" t="n">
        <v>291387.29</v>
      </c>
      <c r="C409" s="16" t="n">
        <v>288444.85</v>
      </c>
      <c r="D409" s="26" t="n">
        <v>6.562</v>
      </c>
      <c r="E409" s="6" t="n">
        <v>667</v>
      </c>
      <c r="F409" s="11" t="n">
        <v>73</v>
      </c>
      <c r="G409" s="11" t="n">
        <v>34.6</v>
      </c>
      <c r="H409" s="6" t="n">
        <v>11</v>
      </c>
      <c r="I409" s="6" t="n">
        <v>349</v>
      </c>
      <c r="J409" s="5" t="inlineStr">
        <is>
          <t>NC</t>
        </is>
      </c>
      <c r="K409" s="5" t="inlineStr">
        <is>
          <t>SFR</t>
        </is>
      </c>
      <c r="L409" s="5" t="inlineStr">
        <is>
          <t>Meridian Home Loans</t>
        </is>
      </c>
      <c r="M409" s="5" t="inlineStr">
        <is>
          <t>Northgate Servicing</t>
        </is>
      </c>
    </row>
    <row r="410">
      <c r="A410" s="7" t="inlineStr">
        <is>
          <t>L100405</t>
        </is>
      </c>
      <c r="B410" s="8" t="n">
        <v>221229.61</v>
      </c>
      <c r="C410" s="8" t="n">
        <v>219203.27</v>
      </c>
      <c r="D410" s="27" t="n">
        <v>7.07</v>
      </c>
      <c r="E410" s="10" t="n">
        <v>624</v>
      </c>
      <c r="F410" s="12" t="n">
        <v>89.2</v>
      </c>
      <c r="G410" s="12" t="n">
        <v>42.7</v>
      </c>
      <c r="H410" s="10" t="n">
        <v>11</v>
      </c>
      <c r="I410" s="10" t="n">
        <v>349</v>
      </c>
      <c r="J410" s="7" t="inlineStr">
        <is>
          <t>NY</t>
        </is>
      </c>
      <c r="K410" s="7" t="inlineStr">
        <is>
          <t>2-4 Unit</t>
        </is>
      </c>
      <c r="L410" s="7" t="inlineStr">
        <is>
          <t>Coastal Mortgage Co</t>
        </is>
      </c>
      <c r="M410" s="7" t="inlineStr">
        <is>
          <t>Northgate Servicing</t>
        </is>
      </c>
    </row>
    <row r="411">
      <c r="A411" s="5" t="inlineStr">
        <is>
          <t>L100406</t>
        </is>
      </c>
      <c r="B411" s="16" t="n">
        <v>233015.5</v>
      </c>
      <c r="C411" s="16" t="n">
        <v>230410.53</v>
      </c>
      <c r="D411" s="26" t="n">
        <v>6.499</v>
      </c>
      <c r="E411" s="6" t="n">
        <v>731</v>
      </c>
      <c r="F411" s="11" t="n">
        <v>67.59999999999999</v>
      </c>
      <c r="G411" s="11" t="n">
        <v>32.5</v>
      </c>
      <c r="H411" s="6" t="n">
        <v>12</v>
      </c>
      <c r="I411" s="6" t="n">
        <v>348</v>
      </c>
      <c r="J411" s="5" t="inlineStr">
        <is>
          <t>OH</t>
        </is>
      </c>
      <c r="K411" s="5" t="inlineStr">
        <is>
          <t>SFR</t>
        </is>
      </c>
      <c r="L411" s="5" t="inlineStr">
        <is>
          <t>Coastal Mortgage Co</t>
        </is>
      </c>
      <c r="M411" s="5" t="inlineStr">
        <is>
          <t>Northgate Servicing</t>
        </is>
      </c>
    </row>
    <row r="412">
      <c r="A412" s="7" t="inlineStr">
        <is>
          <t>L100407</t>
        </is>
      </c>
      <c r="B412" s="8" t="n">
        <v>324594.39</v>
      </c>
      <c r="C412" s="8" t="n">
        <v>267171.36</v>
      </c>
      <c r="D412" s="27" t="n">
        <v>4.903</v>
      </c>
      <c r="E412" s="10" t="n">
        <v>695</v>
      </c>
      <c r="F412" s="12" t="n">
        <v>76.90000000000001</v>
      </c>
      <c r="G412" s="12" t="n">
        <v>34</v>
      </c>
      <c r="H412" s="10" t="n">
        <v>43</v>
      </c>
      <c r="I412" s="10" t="n">
        <v>137</v>
      </c>
      <c r="J412" s="7" t="inlineStr">
        <is>
          <t>NY</t>
        </is>
      </c>
      <c r="K412" s="7" t="inlineStr">
        <is>
          <t>Condo</t>
        </is>
      </c>
      <c r="L412" s="7" t="inlineStr">
        <is>
          <t>Highline Capital</t>
        </is>
      </c>
      <c r="M412" s="7" t="inlineStr">
        <is>
          <t>Northgate Servicing</t>
        </is>
      </c>
    </row>
    <row r="413">
      <c r="A413" s="5" t="inlineStr">
        <is>
          <t>L100408</t>
        </is>
      </c>
      <c r="B413" s="16" t="n">
        <v>120864.92</v>
      </c>
      <c r="C413" s="16" t="n">
        <v>118356.3</v>
      </c>
      <c r="D413" s="26" t="n">
        <v>7.308</v>
      </c>
      <c r="E413" s="6" t="n">
        <v>585</v>
      </c>
      <c r="F413" s="11" t="n">
        <v>73.3</v>
      </c>
      <c r="G413" s="11" t="n">
        <v>27</v>
      </c>
      <c r="H413" s="6" t="n">
        <v>25</v>
      </c>
      <c r="I413" s="6" t="n">
        <v>335</v>
      </c>
      <c r="J413" s="5" t="inlineStr">
        <is>
          <t>NY</t>
        </is>
      </c>
      <c r="K413" s="5" t="inlineStr">
        <is>
          <t>Condo</t>
        </is>
      </c>
      <c r="L413" s="5" t="inlineStr">
        <is>
          <t>Highline Capital</t>
        </is>
      </c>
      <c r="M413" s="5" t="inlineStr">
        <is>
          <t>Northgate Servicing</t>
        </is>
      </c>
    </row>
    <row r="414">
      <c r="A414" s="7" t="inlineStr">
        <is>
          <t>L100409</t>
        </is>
      </c>
      <c r="B414" s="8" t="n">
        <v>154235.31</v>
      </c>
      <c r="C414" s="8" t="n">
        <v>147108.45</v>
      </c>
      <c r="D414" s="27" t="n">
        <v>6.321</v>
      </c>
      <c r="E414" s="10" t="n">
        <v>686</v>
      </c>
      <c r="F414" s="12" t="n">
        <v>53.6</v>
      </c>
      <c r="G414" s="12" t="n">
        <v>30.8</v>
      </c>
      <c r="H414" s="10" t="n">
        <v>44</v>
      </c>
      <c r="I414" s="10" t="n">
        <v>316</v>
      </c>
      <c r="J414" s="7" t="inlineStr">
        <is>
          <t>NY</t>
        </is>
      </c>
      <c r="K414" s="7" t="inlineStr">
        <is>
          <t>Condo</t>
        </is>
      </c>
      <c r="L414" s="7" t="inlineStr">
        <is>
          <t>Coastal Mortgage Co</t>
        </is>
      </c>
      <c r="M414" s="7" t="inlineStr">
        <is>
          <t>Summit Loan Servicing</t>
        </is>
      </c>
    </row>
    <row r="415">
      <c r="A415" s="5" t="inlineStr">
        <is>
          <t>L100410</t>
        </is>
      </c>
      <c r="B415" s="16" t="n">
        <v>144528.95</v>
      </c>
      <c r="C415" s="16" t="n">
        <v>138572.06</v>
      </c>
      <c r="D415" s="26" t="n">
        <v>7.111</v>
      </c>
      <c r="E415" s="6" t="n">
        <v>665</v>
      </c>
      <c r="F415" s="11" t="n">
        <v>91.09999999999999</v>
      </c>
      <c r="G415" s="11" t="n">
        <v>50.1</v>
      </c>
      <c r="H415" s="6" t="n">
        <v>45</v>
      </c>
      <c r="I415" s="6" t="n">
        <v>315</v>
      </c>
      <c r="J415" s="5" t="inlineStr">
        <is>
          <t>NC</t>
        </is>
      </c>
      <c r="K415" s="5" t="inlineStr">
        <is>
          <t>SFR</t>
        </is>
      </c>
      <c r="L415" s="5" t="inlineStr">
        <is>
          <t>Apex Funding</t>
        </is>
      </c>
      <c r="M415" s="5" t="inlineStr">
        <is>
          <t>Summit Loan Servicing</t>
        </is>
      </c>
    </row>
    <row r="416">
      <c r="A416" s="7" t="inlineStr">
        <is>
          <t>L100411</t>
        </is>
      </c>
      <c r="B416" s="8" t="n">
        <v>107283.95</v>
      </c>
      <c r="C416" s="8" t="n">
        <v>105431.57</v>
      </c>
      <c r="D416" s="27" t="n">
        <v>7.021</v>
      </c>
      <c r="E416" s="10" t="n">
        <v>802</v>
      </c>
      <c r="F416" s="12" t="n">
        <v>72.40000000000001</v>
      </c>
      <c r="G416" s="12" t="n">
        <v>36.6</v>
      </c>
      <c r="H416" s="10" t="n">
        <v>20</v>
      </c>
      <c r="I416" s="10" t="n">
        <v>340</v>
      </c>
      <c r="J416" s="7" t="inlineStr">
        <is>
          <t>TX</t>
        </is>
      </c>
      <c r="K416" s="7" t="inlineStr">
        <is>
          <t>Multifamily</t>
        </is>
      </c>
      <c r="L416" s="7" t="inlineStr">
        <is>
          <t>Coastal Mortgage Co</t>
        </is>
      </c>
      <c r="M416" s="7" t="inlineStr">
        <is>
          <t>Pier Asset Mgmt</t>
        </is>
      </c>
    </row>
    <row r="417">
      <c r="A417" s="5" t="inlineStr">
        <is>
          <t>L100412</t>
        </is>
      </c>
      <c r="B417" s="16" t="n">
        <v>191493.17</v>
      </c>
      <c r="C417" s="16" t="n">
        <v>190885.25</v>
      </c>
      <c r="D417" s="26" t="n">
        <v>5.704</v>
      </c>
      <c r="E417" s="6" t="n">
        <v>621</v>
      </c>
      <c r="F417" s="11" t="n">
        <v>83</v>
      </c>
      <c r="G417" s="11" t="n">
        <v>28</v>
      </c>
      <c r="H417" s="6" t="n">
        <v>3</v>
      </c>
      <c r="I417" s="6" t="n">
        <v>357</v>
      </c>
      <c r="J417" s="5" t="inlineStr">
        <is>
          <t>TX</t>
        </is>
      </c>
      <c r="K417" s="5" t="inlineStr">
        <is>
          <t>SFR</t>
        </is>
      </c>
      <c r="L417" s="5" t="inlineStr">
        <is>
          <t>Highline Capital</t>
        </is>
      </c>
      <c r="M417" s="5" t="inlineStr">
        <is>
          <t>Pier Asset Mgmt</t>
        </is>
      </c>
    </row>
    <row r="418">
      <c r="A418" s="7" t="inlineStr">
        <is>
          <t>L100413</t>
        </is>
      </c>
      <c r="B418" s="8" t="n">
        <v>315622.41</v>
      </c>
      <c r="C418" s="8" t="n">
        <v>310345.48</v>
      </c>
      <c r="D418" s="27" t="n">
        <v>5.577</v>
      </c>
      <c r="E418" s="10" t="n">
        <v>636</v>
      </c>
      <c r="F418" s="12" t="n">
        <v>65</v>
      </c>
      <c r="G418" s="12" t="n">
        <v>33.5</v>
      </c>
      <c r="H418" s="10" t="n">
        <v>15</v>
      </c>
      <c r="I418" s="10" t="n">
        <v>345</v>
      </c>
      <c r="J418" s="7" t="inlineStr">
        <is>
          <t>AZ</t>
        </is>
      </c>
      <c r="K418" s="7" t="inlineStr">
        <is>
          <t>2-4 Unit</t>
        </is>
      </c>
      <c r="L418" s="7" t="inlineStr">
        <is>
          <t>Coastal Mortgage Co</t>
        </is>
      </c>
      <c r="M418" s="7" t="inlineStr">
        <is>
          <t>Summit Loan Servicing</t>
        </is>
      </c>
    </row>
    <row r="419">
      <c r="A419" s="5" t="inlineStr">
        <is>
          <t>L100414</t>
        </is>
      </c>
      <c r="B419" s="16" t="n">
        <v>219759.84</v>
      </c>
      <c r="C419" s="16" t="n">
        <v>214708.91</v>
      </c>
      <c r="D419" s="26" t="n">
        <v>6.99</v>
      </c>
      <c r="E419" s="6" t="n">
        <v>776</v>
      </c>
      <c r="F419" s="11" t="n">
        <v>72</v>
      </c>
      <c r="G419" s="11" t="n">
        <v>23.2</v>
      </c>
      <c r="H419" s="6" t="n">
        <v>26</v>
      </c>
      <c r="I419" s="6" t="n">
        <v>334</v>
      </c>
      <c r="J419" s="5" t="inlineStr">
        <is>
          <t>FL</t>
        </is>
      </c>
      <c r="K419" s="5" t="inlineStr">
        <is>
          <t>2-4 Unit</t>
        </is>
      </c>
      <c r="L419" s="5" t="inlineStr">
        <is>
          <t>Apex Funding</t>
        </is>
      </c>
      <c r="M419" s="5" t="inlineStr">
        <is>
          <t>Pier Asset Mgmt</t>
        </is>
      </c>
    </row>
    <row r="420">
      <c r="A420" s="7" t="inlineStr">
        <is>
          <t>L100415</t>
        </is>
      </c>
      <c r="B420" s="8" t="n">
        <v>260205.38</v>
      </c>
      <c r="C420" s="8" t="n">
        <v>255451.89</v>
      </c>
      <c r="D420" s="27" t="n">
        <v>6.127</v>
      </c>
      <c r="E420" s="10" t="n">
        <v>790</v>
      </c>
      <c r="F420" s="12" t="n">
        <v>63.6</v>
      </c>
      <c r="G420" s="12" t="n">
        <v>27.9</v>
      </c>
      <c r="H420" s="10" t="n">
        <v>18</v>
      </c>
      <c r="I420" s="10" t="n">
        <v>342</v>
      </c>
      <c r="J420" s="7" t="inlineStr">
        <is>
          <t>TX</t>
        </is>
      </c>
      <c r="K420" s="7" t="inlineStr">
        <is>
          <t>Condo</t>
        </is>
      </c>
      <c r="L420" s="7" t="inlineStr">
        <is>
          <t>Highline Capital</t>
        </is>
      </c>
      <c r="M420" s="7" t="inlineStr">
        <is>
          <t>Summit Loan Servicing</t>
        </is>
      </c>
    </row>
    <row r="421">
      <c r="A421" s="5" t="inlineStr">
        <is>
          <t>L100416</t>
        </is>
      </c>
      <c r="B421" s="16" t="n">
        <v>355480.66</v>
      </c>
      <c r="C421" s="16" t="n">
        <v>355202.96</v>
      </c>
      <c r="D421" s="26" t="n">
        <v>7.243</v>
      </c>
      <c r="E421" s="6" t="n">
        <v>674</v>
      </c>
      <c r="F421" s="11" t="n">
        <v>88.8</v>
      </c>
      <c r="G421" s="11" t="n">
        <v>46.9</v>
      </c>
      <c r="H421" s="6" t="n">
        <v>1</v>
      </c>
      <c r="I421" s="6" t="n">
        <v>359</v>
      </c>
      <c r="J421" s="5" t="inlineStr">
        <is>
          <t>FL</t>
        </is>
      </c>
      <c r="K421" s="5" t="inlineStr">
        <is>
          <t>SFR</t>
        </is>
      </c>
      <c r="L421" s="5" t="inlineStr">
        <is>
          <t>Meridian Home Loans</t>
        </is>
      </c>
      <c r="M421" s="5" t="inlineStr">
        <is>
          <t>Northgate Servicing</t>
        </is>
      </c>
    </row>
    <row r="422">
      <c r="A422" s="7" t="inlineStr">
        <is>
          <t>L100417</t>
        </is>
      </c>
      <c r="B422" s="8" t="n">
        <v>386423.87</v>
      </c>
      <c r="C422" s="8" t="n">
        <v>366922.16</v>
      </c>
      <c r="D422" s="27" t="n">
        <v>6.24</v>
      </c>
      <c r="E422" s="10" t="n">
        <v>680</v>
      </c>
      <c r="F422" s="12" t="n">
        <v>77.7</v>
      </c>
      <c r="G422" s="12" t="n">
        <v>34.9</v>
      </c>
      <c r="H422" s="10" t="n">
        <v>47</v>
      </c>
      <c r="I422" s="10" t="n">
        <v>313</v>
      </c>
      <c r="J422" s="7" t="inlineStr">
        <is>
          <t>NY</t>
        </is>
      </c>
      <c r="K422" s="7" t="inlineStr">
        <is>
          <t>SFR</t>
        </is>
      </c>
      <c r="L422" s="7" t="inlineStr">
        <is>
          <t>Meridian Home Loans</t>
        </is>
      </c>
      <c r="M422" s="7" t="inlineStr">
        <is>
          <t>Northgate Servicing</t>
        </is>
      </c>
    </row>
    <row r="423">
      <c r="A423" s="5" t="inlineStr">
        <is>
          <t>L100418</t>
        </is>
      </c>
      <c r="B423" s="16" t="n">
        <v>236996.75</v>
      </c>
      <c r="C423" s="16" t="n">
        <v>234142.54</v>
      </c>
      <c r="D423" s="26" t="n">
        <v>7.321</v>
      </c>
      <c r="E423" s="6" t="n">
        <v>749</v>
      </c>
      <c r="F423" s="11" t="n">
        <v>78.40000000000001</v>
      </c>
      <c r="G423" s="11" t="n">
        <v>51.1</v>
      </c>
      <c r="H423" s="6" t="n">
        <v>15</v>
      </c>
      <c r="I423" s="6" t="n">
        <v>345</v>
      </c>
      <c r="J423" s="5" t="inlineStr">
        <is>
          <t>CA</t>
        </is>
      </c>
      <c r="K423" s="5" t="inlineStr">
        <is>
          <t>SFR</t>
        </is>
      </c>
      <c r="L423" s="5" t="inlineStr">
        <is>
          <t>Coastal Mortgage Co</t>
        </is>
      </c>
      <c r="M423" s="5" t="inlineStr">
        <is>
          <t>Pier Asset Mgmt</t>
        </is>
      </c>
    </row>
    <row r="424">
      <c r="A424" s="7" t="inlineStr">
        <is>
          <t>L100419</t>
        </is>
      </c>
      <c r="B424" s="8" t="n">
        <v>389942.69</v>
      </c>
      <c r="C424" s="8" t="n">
        <v>379066.45</v>
      </c>
      <c r="D424" s="27" t="n">
        <v>6.781</v>
      </c>
      <c r="E424" s="10" t="n">
        <v>587</v>
      </c>
      <c r="F424" s="12" t="n">
        <v>90.3</v>
      </c>
      <c r="G424" s="12" t="n">
        <v>35.2</v>
      </c>
      <c r="H424" s="10" t="n">
        <v>30</v>
      </c>
      <c r="I424" s="10" t="n">
        <v>330</v>
      </c>
      <c r="J424" s="7" t="inlineStr">
        <is>
          <t>OH</t>
        </is>
      </c>
      <c r="K424" s="7" t="inlineStr">
        <is>
          <t>SFR</t>
        </is>
      </c>
      <c r="L424" s="7" t="inlineStr">
        <is>
          <t>Highline Capital</t>
        </is>
      </c>
      <c r="M424" s="7" t="inlineStr">
        <is>
          <t>Pier Asset Mgmt</t>
        </is>
      </c>
    </row>
    <row r="425">
      <c r="A425" s="5" t="inlineStr">
        <is>
          <t>L100420</t>
        </is>
      </c>
      <c r="B425" s="16" t="n">
        <v>250758.18</v>
      </c>
      <c r="C425" s="16" t="n">
        <v>239559.06</v>
      </c>
      <c r="D425" s="26" t="n">
        <v>6.659</v>
      </c>
      <c r="E425" s="6" t="n">
        <v>613</v>
      </c>
      <c r="F425" s="11" t="n">
        <v>87.90000000000001</v>
      </c>
      <c r="G425" s="11" t="n">
        <v>35.7</v>
      </c>
      <c r="H425" s="6" t="n">
        <v>45</v>
      </c>
      <c r="I425" s="6" t="n">
        <v>315</v>
      </c>
      <c r="J425" s="5" t="inlineStr">
        <is>
          <t>TX</t>
        </is>
      </c>
      <c r="K425" s="5" t="inlineStr">
        <is>
          <t>SFR</t>
        </is>
      </c>
      <c r="L425" s="5" t="inlineStr">
        <is>
          <t>Apex Funding</t>
        </is>
      </c>
      <c r="M425" s="5" t="inlineStr">
        <is>
          <t>Pier Asset Mgmt</t>
        </is>
      </c>
    </row>
    <row r="426">
      <c r="A426" s="7" t="inlineStr">
        <is>
          <t>L100421</t>
        </is>
      </c>
      <c r="B426" s="8" t="n">
        <v>181119.19</v>
      </c>
      <c r="C426" s="8" t="n">
        <v>176182.77</v>
      </c>
      <c r="D426" s="27" t="n">
        <v>6.063</v>
      </c>
      <c r="E426" s="10" t="n">
        <v>700</v>
      </c>
      <c r="F426" s="12" t="n">
        <v>83.2</v>
      </c>
      <c r="G426" s="12" t="n">
        <v>41.1</v>
      </c>
      <c r="H426" s="10" t="n">
        <v>26</v>
      </c>
      <c r="I426" s="10" t="n">
        <v>334</v>
      </c>
      <c r="J426" s="7" t="inlineStr">
        <is>
          <t>IL</t>
        </is>
      </c>
      <c r="K426" s="7" t="inlineStr">
        <is>
          <t>SFR</t>
        </is>
      </c>
      <c r="L426" s="7" t="inlineStr">
        <is>
          <t>Meridian Home Loans</t>
        </is>
      </c>
      <c r="M426" s="7" t="inlineStr">
        <is>
          <t>Pier Asset Mgmt</t>
        </is>
      </c>
    </row>
    <row r="427">
      <c r="A427" s="5" t="inlineStr">
        <is>
          <t>L100422</t>
        </is>
      </c>
      <c r="B427" s="16" t="n">
        <v>197197.27</v>
      </c>
      <c r="C427" s="16" t="n">
        <v>190900.27</v>
      </c>
      <c r="D427" s="26" t="n">
        <v>6.609</v>
      </c>
      <c r="E427" s="6" t="n">
        <v>800</v>
      </c>
      <c r="F427" s="11" t="n">
        <v>56.9</v>
      </c>
      <c r="G427" s="11" t="n">
        <v>14.6</v>
      </c>
      <c r="H427" s="6" t="n">
        <v>33</v>
      </c>
      <c r="I427" s="6" t="n">
        <v>327</v>
      </c>
      <c r="J427" s="5" t="inlineStr">
        <is>
          <t>FL</t>
        </is>
      </c>
      <c r="K427" s="5" t="inlineStr">
        <is>
          <t>Multifamily</t>
        </is>
      </c>
      <c r="L427" s="5" t="inlineStr">
        <is>
          <t>Coastal Mortgage Co</t>
        </is>
      </c>
      <c r="M427" s="5" t="inlineStr">
        <is>
          <t>Northgate Servicing</t>
        </is>
      </c>
    </row>
    <row r="428">
      <c r="A428" s="7" t="inlineStr">
        <is>
          <t>L100423</t>
        </is>
      </c>
      <c r="B428" s="8" t="n">
        <v>144612.38</v>
      </c>
      <c r="C428" s="8" t="n">
        <v>144395.94</v>
      </c>
      <c r="D428" s="27" t="n">
        <v>7.474</v>
      </c>
      <c r="E428" s="10" t="n">
        <v>691</v>
      </c>
      <c r="F428" s="12" t="n">
        <v>65.7</v>
      </c>
      <c r="G428" s="12" t="n">
        <v>37.6</v>
      </c>
      <c r="H428" s="10" t="n">
        <v>2</v>
      </c>
      <c r="I428" s="10" t="n">
        <v>358</v>
      </c>
      <c r="J428" s="7" t="inlineStr">
        <is>
          <t>FL</t>
        </is>
      </c>
      <c r="K428" s="7" t="inlineStr">
        <is>
          <t>SFR</t>
        </is>
      </c>
      <c r="L428" s="7" t="inlineStr">
        <is>
          <t>Apex Funding</t>
        </is>
      </c>
      <c r="M428" s="7" t="inlineStr">
        <is>
          <t>Northgate Servicing</t>
        </is>
      </c>
    </row>
    <row r="429">
      <c r="A429" s="5" t="inlineStr">
        <is>
          <t>L100424</t>
        </is>
      </c>
      <c r="B429" s="16" t="n">
        <v>177931.36</v>
      </c>
      <c r="C429" s="16" t="n">
        <v>156584.53</v>
      </c>
      <c r="D429" s="26" t="n">
        <v>6.351</v>
      </c>
      <c r="E429" s="6" t="n">
        <v>721</v>
      </c>
      <c r="F429" s="11" t="n">
        <v>62</v>
      </c>
      <c r="G429" s="11" t="n">
        <v>35.6</v>
      </c>
      <c r="H429" s="6" t="n">
        <v>33</v>
      </c>
      <c r="I429" s="6" t="n">
        <v>147</v>
      </c>
      <c r="J429" s="5" t="inlineStr">
        <is>
          <t>CA</t>
        </is>
      </c>
      <c r="K429" s="5" t="inlineStr">
        <is>
          <t>SFR</t>
        </is>
      </c>
      <c r="L429" s="5" t="inlineStr">
        <is>
          <t>Highline Capital</t>
        </is>
      </c>
      <c r="M429" s="5" t="inlineStr">
        <is>
          <t>Northgate Servicing</t>
        </is>
      </c>
    </row>
    <row r="430">
      <c r="A430" s="7" t="inlineStr">
        <is>
          <t>L100425</t>
        </is>
      </c>
      <c r="B430" s="8" t="n">
        <v>214206.15</v>
      </c>
      <c r="C430" s="8" t="n">
        <v>206146.36</v>
      </c>
      <c r="D430" s="27" t="n">
        <v>6.878</v>
      </c>
      <c r="E430" s="10" t="n">
        <v>777</v>
      </c>
      <c r="F430" s="12" t="n">
        <v>82.7</v>
      </c>
      <c r="G430" s="12" t="n">
        <v>47.9</v>
      </c>
      <c r="H430" s="10" t="n">
        <v>40</v>
      </c>
      <c r="I430" s="10" t="n">
        <v>320</v>
      </c>
      <c r="J430" s="7" t="inlineStr">
        <is>
          <t>WA</t>
        </is>
      </c>
      <c r="K430" s="7" t="inlineStr">
        <is>
          <t>SFR</t>
        </is>
      </c>
      <c r="L430" s="7" t="inlineStr">
        <is>
          <t>Coastal Mortgage Co</t>
        </is>
      </c>
      <c r="M430" s="7" t="inlineStr">
        <is>
          <t>Northgate Servicing</t>
        </is>
      </c>
    </row>
    <row r="431">
      <c r="A431" s="5" t="inlineStr">
        <is>
          <t>L100426</t>
        </is>
      </c>
      <c r="B431" s="16" t="n">
        <v>321661.41</v>
      </c>
      <c r="C431" s="16" t="n">
        <v>307109.76</v>
      </c>
      <c r="D431" s="26" t="n">
        <v>6.442</v>
      </c>
      <c r="E431" s="6" t="n">
        <v>820</v>
      </c>
      <c r="F431" s="11" t="n">
        <v>76</v>
      </c>
      <c r="G431" s="11" t="n">
        <v>43.7</v>
      </c>
      <c r="H431" s="6" t="n">
        <v>44</v>
      </c>
      <c r="I431" s="6" t="n">
        <v>316</v>
      </c>
      <c r="J431" s="5" t="inlineStr">
        <is>
          <t>WA</t>
        </is>
      </c>
      <c r="K431" s="5" t="inlineStr">
        <is>
          <t>SFR</t>
        </is>
      </c>
      <c r="L431" s="5" t="inlineStr">
        <is>
          <t>Meridian Home Loans</t>
        </is>
      </c>
      <c r="M431" s="5" t="inlineStr">
        <is>
          <t>Northgate Servicing</t>
        </is>
      </c>
    </row>
    <row r="432">
      <c r="A432" s="7" t="inlineStr">
        <is>
          <t>L100427</t>
        </is>
      </c>
      <c r="B432" s="8" t="n">
        <v>443418.56</v>
      </c>
      <c r="C432" s="8" t="n">
        <v>441805.8</v>
      </c>
      <c r="D432" s="27" t="n">
        <v>6.512</v>
      </c>
      <c r="E432" s="10" t="n">
        <v>683</v>
      </c>
      <c r="F432" s="12" t="n">
        <v>57.3</v>
      </c>
      <c r="G432" s="12" t="n">
        <v>26.9</v>
      </c>
      <c r="H432" s="10" t="n">
        <v>4</v>
      </c>
      <c r="I432" s="10" t="n">
        <v>356</v>
      </c>
      <c r="J432" s="7" t="inlineStr">
        <is>
          <t>TX</t>
        </is>
      </c>
      <c r="K432" s="7" t="inlineStr">
        <is>
          <t>SFR</t>
        </is>
      </c>
      <c r="L432" s="7" t="inlineStr">
        <is>
          <t>Meridian Home Loans</t>
        </is>
      </c>
      <c r="M432" s="7" t="inlineStr">
        <is>
          <t>Summit Loan Servicing</t>
        </is>
      </c>
    </row>
    <row r="433">
      <c r="A433" s="5" t="inlineStr">
        <is>
          <t>L100428</t>
        </is>
      </c>
      <c r="B433" s="16" t="n">
        <v>149677.23</v>
      </c>
      <c r="C433" s="16" t="n">
        <v>148523.75</v>
      </c>
      <c r="D433" s="26" t="n">
        <v>7.951</v>
      </c>
      <c r="E433" s="6" t="n">
        <v>714</v>
      </c>
      <c r="F433" s="11" t="n">
        <v>71.7</v>
      </c>
      <c r="G433" s="11" t="n">
        <v>45.9</v>
      </c>
      <c r="H433" s="6" t="n">
        <v>11</v>
      </c>
      <c r="I433" s="6" t="n">
        <v>349</v>
      </c>
      <c r="J433" s="5" t="inlineStr">
        <is>
          <t>TX</t>
        </is>
      </c>
      <c r="K433" s="5" t="inlineStr">
        <is>
          <t>Condo</t>
        </is>
      </c>
      <c r="L433" s="5" t="inlineStr">
        <is>
          <t>Meridian Home Loans</t>
        </is>
      </c>
      <c r="M433" s="5" t="inlineStr">
        <is>
          <t>Summit Loan Servicing</t>
        </is>
      </c>
    </row>
    <row r="434">
      <c r="A434" s="7" t="inlineStr">
        <is>
          <t>L100429</t>
        </is>
      </c>
      <c r="B434" s="8" t="n">
        <v>278588.1</v>
      </c>
      <c r="C434" s="8" t="n">
        <v>277961.71</v>
      </c>
      <c r="D434" s="27" t="n">
        <v>7.482</v>
      </c>
      <c r="E434" s="10" t="n">
        <v>815</v>
      </c>
      <c r="F434" s="12" t="n">
        <v>56.1</v>
      </c>
      <c r="G434" s="12" t="n">
        <v>33.9</v>
      </c>
      <c r="H434" s="10" t="n">
        <v>3</v>
      </c>
      <c r="I434" s="10" t="n">
        <v>357</v>
      </c>
      <c r="J434" s="7" t="inlineStr">
        <is>
          <t>OH</t>
        </is>
      </c>
      <c r="K434" s="7" t="inlineStr">
        <is>
          <t>SFR</t>
        </is>
      </c>
      <c r="L434" s="7" t="inlineStr">
        <is>
          <t>Meridian Home Loans</t>
        </is>
      </c>
      <c r="M434" s="7" t="inlineStr">
        <is>
          <t>Northgate Servicing</t>
        </is>
      </c>
    </row>
    <row r="435">
      <c r="A435" s="5" t="inlineStr">
        <is>
          <t>L100430</t>
        </is>
      </c>
      <c r="B435" s="16" t="n">
        <v>168688.59</v>
      </c>
      <c r="C435" s="16" t="n">
        <v>161096.03</v>
      </c>
      <c r="D435" s="26" t="n">
        <v>6.471</v>
      </c>
      <c r="E435" s="6" t="n">
        <v>631</v>
      </c>
      <c r="F435" s="11" t="n">
        <v>73.40000000000001</v>
      </c>
      <c r="G435" s="11" t="n">
        <v>28.8</v>
      </c>
      <c r="H435" s="6" t="n">
        <v>44</v>
      </c>
      <c r="I435" s="6" t="n">
        <v>316</v>
      </c>
      <c r="J435" s="5" t="inlineStr">
        <is>
          <t>IL</t>
        </is>
      </c>
      <c r="K435" s="5" t="inlineStr">
        <is>
          <t>SFR</t>
        </is>
      </c>
      <c r="L435" s="5" t="inlineStr">
        <is>
          <t>Coastal Mortgage Co</t>
        </is>
      </c>
      <c r="M435" s="5" t="inlineStr">
        <is>
          <t>Summit Loan Servicing</t>
        </is>
      </c>
    </row>
    <row r="436">
      <c r="A436" s="7" t="inlineStr">
        <is>
          <t>L100431</t>
        </is>
      </c>
      <c r="B436" s="8" t="n">
        <v>286686.33</v>
      </c>
      <c r="C436" s="8" t="n">
        <v>283266.28</v>
      </c>
      <c r="D436" s="27" t="n">
        <v>6.593</v>
      </c>
      <c r="E436" s="10" t="n">
        <v>772</v>
      </c>
      <c r="F436" s="12" t="n">
        <v>54.1</v>
      </c>
      <c r="G436" s="12" t="n">
        <v>37.6</v>
      </c>
      <c r="H436" s="10" t="n">
        <v>13</v>
      </c>
      <c r="I436" s="10" t="n">
        <v>347</v>
      </c>
      <c r="J436" s="7" t="inlineStr">
        <is>
          <t>CA</t>
        </is>
      </c>
      <c r="K436" s="7" t="inlineStr">
        <is>
          <t>SFR</t>
        </is>
      </c>
      <c r="L436" s="7" t="inlineStr">
        <is>
          <t>Coastal Mortgage Co</t>
        </is>
      </c>
      <c r="M436" s="7" t="inlineStr">
        <is>
          <t>Northgate Servicing</t>
        </is>
      </c>
    </row>
    <row r="437">
      <c r="A437" s="5" t="inlineStr">
        <is>
          <t>L100432</t>
        </is>
      </c>
      <c r="B437" s="16" t="n">
        <v>231913.49</v>
      </c>
      <c r="C437" s="16" t="n">
        <v>225519.69</v>
      </c>
      <c r="D437" s="26" t="n">
        <v>5.768</v>
      </c>
      <c r="E437" s="6" t="n">
        <v>659</v>
      </c>
      <c r="F437" s="11" t="n">
        <v>80.3</v>
      </c>
      <c r="G437" s="11" t="n">
        <v>34.4</v>
      </c>
      <c r="H437" s="6" t="n">
        <v>25</v>
      </c>
      <c r="I437" s="6" t="n">
        <v>335</v>
      </c>
      <c r="J437" s="5" t="inlineStr">
        <is>
          <t>TX</t>
        </is>
      </c>
      <c r="K437" s="5" t="inlineStr">
        <is>
          <t>SFR</t>
        </is>
      </c>
      <c r="L437" s="5" t="inlineStr">
        <is>
          <t>Coastal Mortgage Co</t>
        </is>
      </c>
      <c r="M437" s="5" t="inlineStr">
        <is>
          <t>Pier Asset Mgmt</t>
        </is>
      </c>
    </row>
    <row r="438">
      <c r="A438" s="7" t="inlineStr">
        <is>
          <t>L100433</t>
        </is>
      </c>
      <c r="B438" s="8" t="n">
        <v>127922.89</v>
      </c>
      <c r="C438" s="8" t="n">
        <v>124962.01</v>
      </c>
      <c r="D438" s="27" t="n">
        <v>6.244</v>
      </c>
      <c r="E438" s="10" t="n">
        <v>721</v>
      </c>
      <c r="F438" s="12" t="n">
        <v>78.5</v>
      </c>
      <c r="G438" s="12" t="n">
        <v>48.3</v>
      </c>
      <c r="H438" s="10" t="n">
        <v>23</v>
      </c>
      <c r="I438" s="10" t="n">
        <v>337</v>
      </c>
      <c r="J438" s="7" t="inlineStr">
        <is>
          <t>IL</t>
        </is>
      </c>
      <c r="K438" s="7" t="inlineStr">
        <is>
          <t>2-4 Unit</t>
        </is>
      </c>
      <c r="L438" s="7" t="inlineStr">
        <is>
          <t>Highline Capital</t>
        </is>
      </c>
      <c r="M438" s="7" t="inlineStr">
        <is>
          <t>Summit Loan Servicing</t>
        </is>
      </c>
    </row>
    <row r="439">
      <c r="A439" s="5" t="inlineStr">
        <is>
          <t>L100434</t>
        </is>
      </c>
      <c r="B439" s="16" t="n">
        <v>336012.6</v>
      </c>
      <c r="C439" s="16" t="n">
        <v>325416.44</v>
      </c>
      <c r="D439" s="26" t="n">
        <v>6.678</v>
      </c>
      <c r="E439" s="6" t="n">
        <v>702</v>
      </c>
      <c r="F439" s="11" t="n">
        <v>96.90000000000001</v>
      </c>
      <c r="G439" s="11" t="n">
        <v>38.7</v>
      </c>
      <c r="H439" s="6" t="n">
        <v>33</v>
      </c>
      <c r="I439" s="6" t="n">
        <v>327</v>
      </c>
      <c r="J439" s="5" t="inlineStr">
        <is>
          <t>GA</t>
        </is>
      </c>
      <c r="K439" s="5" t="inlineStr">
        <is>
          <t>SFR</t>
        </is>
      </c>
      <c r="L439" s="5" t="inlineStr">
        <is>
          <t>Coastal Mortgage Co</t>
        </is>
      </c>
      <c r="M439" s="5" t="inlineStr">
        <is>
          <t>Summit Loan Servicing</t>
        </is>
      </c>
    </row>
    <row r="440">
      <c r="A440" s="7" t="inlineStr">
        <is>
          <t>L100435</t>
        </is>
      </c>
      <c r="B440" s="8" t="n">
        <v>196467</v>
      </c>
      <c r="C440" s="8" t="n">
        <v>188852.63</v>
      </c>
      <c r="D440" s="27" t="n">
        <v>7.166</v>
      </c>
      <c r="E440" s="10" t="n">
        <v>662</v>
      </c>
      <c r="F440" s="12" t="n">
        <v>84.2</v>
      </c>
      <c r="G440" s="12" t="n">
        <v>37.6</v>
      </c>
      <c r="H440" s="10" t="n">
        <v>43</v>
      </c>
      <c r="I440" s="10" t="n">
        <v>317</v>
      </c>
      <c r="J440" s="7" t="inlineStr">
        <is>
          <t>NC</t>
        </is>
      </c>
      <c r="K440" s="7" t="inlineStr">
        <is>
          <t>SFR</t>
        </is>
      </c>
      <c r="L440" s="7" t="inlineStr">
        <is>
          <t>Apex Funding</t>
        </is>
      </c>
      <c r="M440" s="7" t="inlineStr">
        <is>
          <t>Summit Loan Servicing</t>
        </is>
      </c>
    </row>
    <row r="441">
      <c r="A441" s="5" t="inlineStr">
        <is>
          <t>L100436</t>
        </is>
      </c>
      <c r="B441" s="16" t="n">
        <v>201417.45</v>
      </c>
      <c r="C441" s="16" t="n">
        <v>198695.86</v>
      </c>
      <c r="D441" s="26" t="n">
        <v>7.074</v>
      </c>
      <c r="E441" s="6" t="n">
        <v>661</v>
      </c>
      <c r="F441" s="11" t="n">
        <v>68.90000000000001</v>
      </c>
      <c r="G441" s="11" t="n">
        <v>43.2</v>
      </c>
      <c r="H441" s="6" t="n">
        <v>16</v>
      </c>
      <c r="I441" s="6" t="n">
        <v>344</v>
      </c>
      <c r="J441" s="5" t="inlineStr">
        <is>
          <t>TX</t>
        </is>
      </c>
      <c r="K441" s="5" t="inlineStr">
        <is>
          <t>SFR</t>
        </is>
      </c>
      <c r="L441" s="5" t="inlineStr">
        <is>
          <t>Apex Funding</t>
        </is>
      </c>
      <c r="M441" s="5" t="inlineStr">
        <is>
          <t>Pier Asset Mgmt</t>
        </is>
      </c>
    </row>
    <row r="442">
      <c r="A442" s="7" t="inlineStr">
        <is>
          <t>L100437</t>
        </is>
      </c>
      <c r="B442" s="8" t="n">
        <v>166972.88</v>
      </c>
      <c r="C442" s="8" t="n">
        <v>159276.69</v>
      </c>
      <c r="D442" s="27" t="n">
        <v>5.402</v>
      </c>
      <c r="E442" s="10" t="n">
        <v>730</v>
      </c>
      <c r="F442" s="12" t="n">
        <v>83.8</v>
      </c>
      <c r="G442" s="12" t="n">
        <v>44.7</v>
      </c>
      <c r="H442" s="10" t="n">
        <v>38</v>
      </c>
      <c r="I442" s="10" t="n">
        <v>322</v>
      </c>
      <c r="J442" s="7" t="inlineStr">
        <is>
          <t>NY</t>
        </is>
      </c>
      <c r="K442" s="7" t="inlineStr">
        <is>
          <t>SFR</t>
        </is>
      </c>
      <c r="L442" s="7" t="inlineStr">
        <is>
          <t>Meridian Home Loans</t>
        </is>
      </c>
      <c r="M442" s="7" t="inlineStr">
        <is>
          <t>Pier Asset Mgmt</t>
        </is>
      </c>
    </row>
    <row r="443">
      <c r="A443" s="5" t="inlineStr">
        <is>
          <t>L100438</t>
        </is>
      </c>
      <c r="B443" s="16" t="n">
        <v>193107.22</v>
      </c>
      <c r="C443" s="16" t="n">
        <v>190925.64</v>
      </c>
      <c r="D443" s="26" t="n">
        <v>7.279</v>
      </c>
      <c r="E443" s="6" t="n">
        <v>770</v>
      </c>
      <c r="F443" s="11" t="n">
        <v>57.2</v>
      </c>
      <c r="G443" s="11" t="n">
        <v>42.3</v>
      </c>
      <c r="H443" s="6" t="n">
        <v>14</v>
      </c>
      <c r="I443" s="6" t="n">
        <v>346</v>
      </c>
      <c r="J443" s="5" t="inlineStr">
        <is>
          <t>FL</t>
        </is>
      </c>
      <c r="K443" s="5" t="inlineStr">
        <is>
          <t>SFR</t>
        </is>
      </c>
      <c r="L443" s="5" t="inlineStr">
        <is>
          <t>Highline Capital</t>
        </is>
      </c>
      <c r="M443" s="5" t="inlineStr">
        <is>
          <t>Pier Asset Mgmt</t>
        </is>
      </c>
    </row>
    <row r="444">
      <c r="A444" s="7" t="inlineStr">
        <is>
          <t>L100439</t>
        </is>
      </c>
      <c r="B444" s="8" t="n">
        <v>282028.01</v>
      </c>
      <c r="C444" s="8" t="n">
        <v>279324.47</v>
      </c>
      <c r="D444" s="27" t="n">
        <v>6.32</v>
      </c>
      <c r="E444" s="10" t="n">
        <v>708</v>
      </c>
      <c r="F444" s="12" t="n">
        <v>62.5</v>
      </c>
      <c r="G444" s="12" t="n">
        <v>47.4</v>
      </c>
      <c r="H444" s="10" t="n">
        <v>10</v>
      </c>
      <c r="I444" s="10" t="n">
        <v>350</v>
      </c>
      <c r="J444" s="7" t="inlineStr">
        <is>
          <t>GA</t>
        </is>
      </c>
      <c r="K444" s="7" t="inlineStr">
        <is>
          <t>SFR</t>
        </is>
      </c>
      <c r="L444" s="7" t="inlineStr">
        <is>
          <t>Coastal Mortgage Co</t>
        </is>
      </c>
      <c r="M444" s="7" t="inlineStr">
        <is>
          <t>Summit Loan Servicing</t>
        </is>
      </c>
    </row>
    <row r="445">
      <c r="A445" s="5" t="inlineStr">
        <is>
          <t>L100440</t>
        </is>
      </c>
      <c r="B445" s="16" t="n">
        <v>227240.56</v>
      </c>
      <c r="C445" s="16" t="n">
        <v>223130.98</v>
      </c>
      <c r="D445" s="26" t="n">
        <v>5.512</v>
      </c>
      <c r="E445" s="6" t="n">
        <v>719</v>
      </c>
      <c r="F445" s="11" t="n">
        <v>78</v>
      </c>
      <c r="G445" s="11" t="n">
        <v>40.9</v>
      </c>
      <c r="H445" s="6" t="n">
        <v>5</v>
      </c>
      <c r="I445" s="6" t="n">
        <v>175</v>
      </c>
      <c r="J445" s="5" t="inlineStr">
        <is>
          <t>NY</t>
        </is>
      </c>
      <c r="K445" s="5" t="inlineStr">
        <is>
          <t>Multifamily</t>
        </is>
      </c>
      <c r="L445" s="5" t="inlineStr">
        <is>
          <t>Highline Capital</t>
        </is>
      </c>
      <c r="M445" s="5" t="inlineStr">
        <is>
          <t>Northgate Servicing</t>
        </is>
      </c>
    </row>
    <row r="446">
      <c r="A446" s="7" t="inlineStr">
        <is>
          <t>L100441</t>
        </is>
      </c>
      <c r="B446" s="8" t="n">
        <v>272401.32</v>
      </c>
      <c r="C446" s="8" t="n">
        <v>268638.18</v>
      </c>
      <c r="D446" s="27" t="n">
        <v>7.603</v>
      </c>
      <c r="E446" s="10" t="n">
        <v>746</v>
      </c>
      <c r="F446" s="12" t="n">
        <v>48.1</v>
      </c>
      <c r="G446" s="12" t="n">
        <v>37.3</v>
      </c>
      <c r="H446" s="10" t="n">
        <v>18</v>
      </c>
      <c r="I446" s="10" t="n">
        <v>342</v>
      </c>
      <c r="J446" s="7" t="inlineStr">
        <is>
          <t>FL</t>
        </is>
      </c>
      <c r="K446" s="7" t="inlineStr">
        <is>
          <t>SFR</t>
        </is>
      </c>
      <c r="L446" s="7" t="inlineStr">
        <is>
          <t>Meridian Home Loans</t>
        </is>
      </c>
      <c r="M446" s="7" t="inlineStr">
        <is>
          <t>Summit Loan Servicing</t>
        </is>
      </c>
    </row>
    <row r="447">
      <c r="A447" s="5" t="inlineStr">
        <is>
          <t>L100442</t>
        </is>
      </c>
      <c r="B447" s="16" t="n">
        <v>275590.86</v>
      </c>
      <c r="C447" s="16" t="n">
        <v>269837.47</v>
      </c>
      <c r="D447" s="26" t="n">
        <v>7.717</v>
      </c>
      <c r="E447" s="6" t="n">
        <v>662</v>
      </c>
      <c r="F447" s="11" t="n">
        <v>73.59999999999999</v>
      </c>
      <c r="G447" s="11" t="n">
        <v>45.9</v>
      </c>
      <c r="H447" s="6" t="n">
        <v>27</v>
      </c>
      <c r="I447" s="6" t="n">
        <v>333</v>
      </c>
      <c r="J447" s="5" t="inlineStr">
        <is>
          <t>OH</t>
        </is>
      </c>
      <c r="K447" s="5" t="inlineStr">
        <is>
          <t>SFR</t>
        </is>
      </c>
      <c r="L447" s="5" t="inlineStr">
        <is>
          <t>Highline Capital</t>
        </is>
      </c>
      <c r="M447" s="5" t="inlineStr">
        <is>
          <t>Summit Loan Servicing</t>
        </is>
      </c>
    </row>
    <row r="448">
      <c r="A448" s="7" t="inlineStr">
        <is>
          <t>L100443</t>
        </is>
      </c>
      <c r="B448" s="8" t="n">
        <v>385474.98</v>
      </c>
      <c r="C448" s="8" t="n">
        <v>371586.48</v>
      </c>
      <c r="D448" s="27" t="n">
        <v>6.637</v>
      </c>
      <c r="E448" s="10" t="n">
        <v>756</v>
      </c>
      <c r="F448" s="12" t="n">
        <v>61.8</v>
      </c>
      <c r="G448" s="12" t="n">
        <v>35.3</v>
      </c>
      <c r="H448" s="10" t="n">
        <v>37</v>
      </c>
      <c r="I448" s="10" t="n">
        <v>323</v>
      </c>
      <c r="J448" s="7" t="inlineStr">
        <is>
          <t>GA</t>
        </is>
      </c>
      <c r="K448" s="7" t="inlineStr">
        <is>
          <t>Condo</t>
        </is>
      </c>
      <c r="L448" s="7" t="inlineStr">
        <is>
          <t>Apex Funding</t>
        </is>
      </c>
      <c r="M448" s="7" t="inlineStr">
        <is>
          <t>Pier Asset Mgmt</t>
        </is>
      </c>
    </row>
    <row r="449">
      <c r="A449" s="5" t="inlineStr">
        <is>
          <t>L100444</t>
        </is>
      </c>
      <c r="B449" s="16" t="n">
        <v>215351.07</v>
      </c>
      <c r="C449" s="16" t="n">
        <v>207478.57</v>
      </c>
      <c r="D449" s="26" t="n">
        <v>7.038</v>
      </c>
      <c r="E449" s="6" t="n">
        <v>760</v>
      </c>
      <c r="F449" s="11" t="n">
        <v>75.2</v>
      </c>
      <c r="G449" s="11" t="n">
        <v>36.3</v>
      </c>
      <c r="H449" s="6" t="n">
        <v>40</v>
      </c>
      <c r="I449" s="6" t="n">
        <v>320</v>
      </c>
      <c r="J449" s="5" t="inlineStr">
        <is>
          <t>IL</t>
        </is>
      </c>
      <c r="K449" s="5" t="inlineStr">
        <is>
          <t>SFR</t>
        </is>
      </c>
      <c r="L449" s="5" t="inlineStr">
        <is>
          <t>Meridian Home Loans</t>
        </is>
      </c>
      <c r="M449" s="5" t="inlineStr">
        <is>
          <t>Pier Asset Mgmt</t>
        </is>
      </c>
    </row>
    <row r="450">
      <c r="A450" s="7" t="inlineStr">
        <is>
          <t>L100445</t>
        </is>
      </c>
      <c r="B450" s="8" t="n">
        <v>144798.7</v>
      </c>
      <c r="C450" s="8" t="n">
        <v>141667.98</v>
      </c>
      <c r="D450" s="27" t="n">
        <v>7.091</v>
      </c>
      <c r="E450" s="10" t="n">
        <v>820</v>
      </c>
      <c r="F450" s="12" t="n">
        <v>61.1</v>
      </c>
      <c r="G450" s="12" t="n">
        <v>49.8</v>
      </c>
      <c r="H450" s="10" t="n">
        <v>25</v>
      </c>
      <c r="I450" s="10" t="n">
        <v>335</v>
      </c>
      <c r="J450" s="7" t="inlineStr">
        <is>
          <t>TX</t>
        </is>
      </c>
      <c r="K450" s="7" t="inlineStr">
        <is>
          <t>SFR</t>
        </is>
      </c>
      <c r="L450" s="7" t="inlineStr">
        <is>
          <t>Highline Capital</t>
        </is>
      </c>
      <c r="M450" s="7" t="inlineStr">
        <is>
          <t>Pier Asset Mgmt</t>
        </is>
      </c>
    </row>
    <row r="451">
      <c r="A451" s="5" t="inlineStr">
        <is>
          <t>L100446</t>
        </is>
      </c>
      <c r="B451" s="16" t="n">
        <v>352754.58</v>
      </c>
      <c r="C451" s="16" t="n">
        <v>347360.36</v>
      </c>
      <c r="D451" s="26" t="n">
        <v>7.656</v>
      </c>
      <c r="E451" s="6" t="n">
        <v>694</v>
      </c>
      <c r="F451" s="11" t="n">
        <v>79.09999999999999</v>
      </c>
      <c r="G451" s="11" t="n">
        <v>49</v>
      </c>
      <c r="H451" s="6" t="n">
        <v>20</v>
      </c>
      <c r="I451" s="6" t="n">
        <v>340</v>
      </c>
      <c r="J451" s="5" t="inlineStr">
        <is>
          <t>CA</t>
        </is>
      </c>
      <c r="K451" s="5" t="inlineStr">
        <is>
          <t>2-4 Unit</t>
        </is>
      </c>
      <c r="L451" s="5" t="inlineStr">
        <is>
          <t>Apex Funding</t>
        </is>
      </c>
      <c r="M451" s="5" t="inlineStr">
        <is>
          <t>Northgate Servicing</t>
        </is>
      </c>
    </row>
    <row r="452">
      <c r="A452" s="7" t="inlineStr">
        <is>
          <t>L100447</t>
        </is>
      </c>
      <c r="B452" s="8" t="n">
        <v>216204.31</v>
      </c>
      <c r="C452" s="8" t="n">
        <v>214588.94</v>
      </c>
      <c r="D452" s="27" t="n">
        <v>7.055</v>
      </c>
      <c r="E452" s="10" t="n">
        <v>690</v>
      </c>
      <c r="F452" s="12" t="n">
        <v>74.2</v>
      </c>
      <c r="G452" s="12" t="n">
        <v>35.9</v>
      </c>
      <c r="H452" s="10" t="n">
        <v>9</v>
      </c>
      <c r="I452" s="10" t="n">
        <v>351</v>
      </c>
      <c r="J452" s="7" t="inlineStr">
        <is>
          <t>AZ</t>
        </is>
      </c>
      <c r="K452" s="7" t="inlineStr">
        <is>
          <t>Condo</t>
        </is>
      </c>
      <c r="L452" s="7" t="inlineStr">
        <is>
          <t>Highline Capital</t>
        </is>
      </c>
      <c r="M452" s="7" t="inlineStr">
        <is>
          <t>Northgate Servicing</t>
        </is>
      </c>
    </row>
    <row r="453">
      <c r="A453" s="5" t="inlineStr">
        <is>
          <t>L100448</t>
        </is>
      </c>
      <c r="B453" s="16" t="n">
        <v>358651.83</v>
      </c>
      <c r="C453" s="16" t="n">
        <v>339087.68</v>
      </c>
      <c r="D453" s="26" t="n">
        <v>5.205</v>
      </c>
      <c r="E453" s="6" t="n">
        <v>757</v>
      </c>
      <c r="F453" s="11" t="n">
        <v>90.8</v>
      </c>
      <c r="G453" s="11" t="n">
        <v>32.4</v>
      </c>
      <c r="H453" s="6" t="n">
        <v>43</v>
      </c>
      <c r="I453" s="6" t="n">
        <v>317</v>
      </c>
      <c r="J453" s="5" t="inlineStr">
        <is>
          <t>WA</t>
        </is>
      </c>
      <c r="K453" s="5" t="inlineStr">
        <is>
          <t>Multifamily</t>
        </is>
      </c>
      <c r="L453" s="5" t="inlineStr">
        <is>
          <t>Meridian Home Loans</t>
        </is>
      </c>
      <c r="M453" s="5" t="inlineStr">
        <is>
          <t>Pier Asset Mgmt</t>
        </is>
      </c>
    </row>
    <row r="454">
      <c r="A454" s="7" t="inlineStr">
        <is>
          <t>L100449</t>
        </is>
      </c>
      <c r="B454" s="8" t="n">
        <v>277668.15</v>
      </c>
      <c r="C454" s="8" t="n">
        <v>274058.54</v>
      </c>
      <c r="D454" s="27" t="n">
        <v>8.209</v>
      </c>
      <c r="E454" s="10" t="n">
        <v>760</v>
      </c>
      <c r="F454" s="12" t="n">
        <v>74.09999999999999</v>
      </c>
      <c r="G454" s="12" t="n">
        <v>47.7</v>
      </c>
      <c r="H454" s="10" t="n">
        <v>19</v>
      </c>
      <c r="I454" s="10" t="n">
        <v>341</v>
      </c>
      <c r="J454" s="7" t="inlineStr">
        <is>
          <t>GA</t>
        </is>
      </c>
      <c r="K454" s="7" t="inlineStr">
        <is>
          <t>Condo</t>
        </is>
      </c>
      <c r="L454" s="7" t="inlineStr">
        <is>
          <t>Highline Capital</t>
        </is>
      </c>
      <c r="M454" s="7" t="inlineStr">
        <is>
          <t>Northgate Servicing</t>
        </is>
      </c>
    </row>
    <row r="455">
      <c r="A455" s="5" t="inlineStr">
        <is>
          <t>L100450</t>
        </is>
      </c>
      <c r="B455" s="16" t="n">
        <v>231909.36</v>
      </c>
      <c r="C455" s="16" t="n">
        <v>224802.36</v>
      </c>
      <c r="D455" s="26" t="n">
        <v>7.359</v>
      </c>
      <c r="E455" s="6" t="n">
        <v>686</v>
      </c>
      <c r="F455" s="11" t="n">
        <v>64.8</v>
      </c>
      <c r="G455" s="11" t="n">
        <v>42.4</v>
      </c>
      <c r="H455" s="6" t="n">
        <v>36</v>
      </c>
      <c r="I455" s="6" t="n">
        <v>324</v>
      </c>
      <c r="J455" s="5" t="inlineStr">
        <is>
          <t>CA</t>
        </is>
      </c>
      <c r="K455" s="5" t="inlineStr">
        <is>
          <t>SFR</t>
        </is>
      </c>
      <c r="L455" s="5" t="inlineStr">
        <is>
          <t>Highline Capital</t>
        </is>
      </c>
      <c r="M455" s="5" t="inlineStr">
        <is>
          <t>Northgate Servicing</t>
        </is>
      </c>
    </row>
    <row r="456">
      <c r="A456" s="7" t="inlineStr">
        <is>
          <t>L100451</t>
        </is>
      </c>
      <c r="B456" s="8" t="n">
        <v>274325.75</v>
      </c>
      <c r="C456" s="8" t="n">
        <v>265416.85</v>
      </c>
      <c r="D456" s="27" t="n">
        <v>5.941</v>
      </c>
      <c r="E456" s="10" t="n">
        <v>693</v>
      </c>
      <c r="F456" s="12" t="n">
        <v>71</v>
      </c>
      <c r="G456" s="12" t="n">
        <v>38.5</v>
      </c>
      <c r="H456" s="10" t="n">
        <v>30</v>
      </c>
      <c r="I456" s="10" t="n">
        <v>330</v>
      </c>
      <c r="J456" s="7" t="inlineStr">
        <is>
          <t>IL</t>
        </is>
      </c>
      <c r="K456" s="7" t="inlineStr">
        <is>
          <t>Multifamily</t>
        </is>
      </c>
      <c r="L456" s="7" t="inlineStr">
        <is>
          <t>Coastal Mortgage Co</t>
        </is>
      </c>
      <c r="M456" s="7" t="inlineStr">
        <is>
          <t>Summit Loan Servicing</t>
        </is>
      </c>
    </row>
    <row r="457">
      <c r="A457" s="5" t="inlineStr">
        <is>
          <t>L100452</t>
        </is>
      </c>
      <c r="B457" s="16" t="n">
        <v>480630.66</v>
      </c>
      <c r="C457" s="16" t="n">
        <v>454931.35</v>
      </c>
      <c r="D457" s="26" t="n">
        <v>5.473</v>
      </c>
      <c r="E457" s="6" t="n">
        <v>745</v>
      </c>
      <c r="F457" s="11" t="n">
        <v>57.9</v>
      </c>
      <c r="G457" s="11" t="n">
        <v>33.4</v>
      </c>
      <c r="H457" s="6" t="n">
        <v>44</v>
      </c>
      <c r="I457" s="6" t="n">
        <v>316</v>
      </c>
      <c r="J457" s="5" t="inlineStr">
        <is>
          <t>FL</t>
        </is>
      </c>
      <c r="K457" s="5" t="inlineStr">
        <is>
          <t>SFR</t>
        </is>
      </c>
      <c r="L457" s="5" t="inlineStr">
        <is>
          <t>Coastal Mortgage Co</t>
        </is>
      </c>
      <c r="M457" s="5" t="inlineStr">
        <is>
          <t>Pier Asset Mgmt</t>
        </is>
      </c>
    </row>
    <row r="458">
      <c r="A458" s="7" t="inlineStr">
        <is>
          <t>L100453</t>
        </is>
      </c>
      <c r="B458" s="8" t="n">
        <v>502295.16</v>
      </c>
      <c r="C458" s="8" t="n">
        <v>480075.09</v>
      </c>
      <c r="D458" s="27" t="n">
        <v>6.854</v>
      </c>
      <c r="E458" s="10" t="n">
        <v>669</v>
      </c>
      <c r="F458" s="12" t="n">
        <v>78.90000000000001</v>
      </c>
      <c r="G458" s="12" t="n">
        <v>38.7</v>
      </c>
      <c r="H458" s="10" t="n">
        <v>46</v>
      </c>
      <c r="I458" s="10" t="n">
        <v>314</v>
      </c>
      <c r="J458" s="7" t="inlineStr">
        <is>
          <t>CA</t>
        </is>
      </c>
      <c r="K458" s="7" t="inlineStr">
        <is>
          <t>SFR</t>
        </is>
      </c>
      <c r="L458" s="7" t="inlineStr">
        <is>
          <t>Coastal Mortgage Co</t>
        </is>
      </c>
      <c r="M458" s="7" t="inlineStr">
        <is>
          <t>Pier Asset Mgmt</t>
        </is>
      </c>
    </row>
    <row r="459">
      <c r="A459" s="5" t="inlineStr">
        <is>
          <t>L100454</t>
        </is>
      </c>
      <c r="B459" s="16" t="n">
        <v>248769.84</v>
      </c>
      <c r="C459" s="16" t="n">
        <v>239857.19</v>
      </c>
      <c r="D459" s="26" t="n">
        <v>6.15</v>
      </c>
      <c r="E459" s="6" t="n">
        <v>692</v>
      </c>
      <c r="F459" s="11" t="n">
        <v>81.09999999999999</v>
      </c>
      <c r="G459" s="11" t="n">
        <v>35.8</v>
      </c>
      <c r="H459" s="6" t="n">
        <v>34</v>
      </c>
      <c r="I459" s="6" t="n">
        <v>326</v>
      </c>
      <c r="J459" s="5" t="inlineStr">
        <is>
          <t>TX</t>
        </is>
      </c>
      <c r="K459" s="5" t="inlineStr">
        <is>
          <t>Condo</t>
        </is>
      </c>
      <c r="L459" s="5" t="inlineStr">
        <is>
          <t>Coastal Mortgage Co</t>
        </is>
      </c>
      <c r="M459" s="5" t="inlineStr">
        <is>
          <t>Northgate Servicing</t>
        </is>
      </c>
    </row>
    <row r="460">
      <c r="A460" s="7" t="inlineStr">
        <is>
          <t>L100455</t>
        </is>
      </c>
      <c r="B460" s="8" t="n">
        <v>256803.56</v>
      </c>
      <c r="C460" s="8" t="n">
        <v>249000.14</v>
      </c>
      <c r="D460" s="27" t="n">
        <v>6.697</v>
      </c>
      <c r="E460" s="10" t="n">
        <v>720</v>
      </c>
      <c r="F460" s="12" t="n">
        <v>97</v>
      </c>
      <c r="G460" s="12" t="n">
        <v>30.7</v>
      </c>
      <c r="H460" s="10" t="n">
        <v>32</v>
      </c>
      <c r="I460" s="10" t="n">
        <v>328</v>
      </c>
      <c r="J460" s="7" t="inlineStr">
        <is>
          <t>IL</t>
        </is>
      </c>
      <c r="K460" s="7" t="inlineStr">
        <is>
          <t>2-4 Unit</t>
        </is>
      </c>
      <c r="L460" s="7" t="inlineStr">
        <is>
          <t>Highline Capital</t>
        </is>
      </c>
      <c r="M460" s="7" t="inlineStr">
        <is>
          <t>Summit Loan Servicing</t>
        </is>
      </c>
    </row>
    <row r="461">
      <c r="A461" s="5" t="inlineStr">
        <is>
          <t>L100456</t>
        </is>
      </c>
      <c r="B461" s="16" t="n">
        <v>353869.7</v>
      </c>
      <c r="C461" s="16" t="n">
        <v>351830.99</v>
      </c>
      <c r="D461" s="26" t="n">
        <v>7.069</v>
      </c>
      <c r="E461" s="6" t="n">
        <v>770</v>
      </c>
      <c r="F461" s="11" t="n">
        <v>66.5</v>
      </c>
      <c r="G461" s="11" t="n">
        <v>37</v>
      </c>
      <c r="H461" s="6" t="n">
        <v>7</v>
      </c>
      <c r="I461" s="6" t="n">
        <v>353</v>
      </c>
      <c r="J461" s="5" t="inlineStr">
        <is>
          <t>IL</t>
        </is>
      </c>
      <c r="K461" s="5" t="inlineStr">
        <is>
          <t>2-4 Unit</t>
        </is>
      </c>
      <c r="L461" s="5" t="inlineStr">
        <is>
          <t>Highline Capital</t>
        </is>
      </c>
      <c r="M461" s="5" t="inlineStr">
        <is>
          <t>Pier Asset Mgmt</t>
        </is>
      </c>
    </row>
    <row r="462">
      <c r="A462" s="7" t="inlineStr">
        <is>
          <t>L100457</t>
        </is>
      </c>
      <c r="B462" s="8" t="n">
        <v>180596.16</v>
      </c>
      <c r="C462" s="8" t="n">
        <v>180412.56</v>
      </c>
      <c r="D462" s="27" t="n">
        <v>5.89</v>
      </c>
      <c r="E462" s="10" t="n">
        <v>682</v>
      </c>
      <c r="F462" s="12" t="n">
        <v>70.8</v>
      </c>
      <c r="G462" s="12" t="n">
        <v>38.1</v>
      </c>
      <c r="H462" s="10" t="n">
        <v>1</v>
      </c>
      <c r="I462" s="10" t="n">
        <v>359</v>
      </c>
      <c r="J462" s="7" t="inlineStr">
        <is>
          <t>GA</t>
        </is>
      </c>
      <c r="K462" s="7" t="inlineStr">
        <is>
          <t>SFR</t>
        </is>
      </c>
      <c r="L462" s="7" t="inlineStr">
        <is>
          <t>Meridian Home Loans</t>
        </is>
      </c>
      <c r="M462" s="7" t="inlineStr">
        <is>
          <t>Pier Asset Mgmt</t>
        </is>
      </c>
    </row>
    <row r="463">
      <c r="A463" s="5" t="inlineStr">
        <is>
          <t>L100458</t>
        </is>
      </c>
      <c r="B463" s="16" t="n">
        <v>272821.94</v>
      </c>
      <c r="C463" s="16" t="n">
        <v>264443.27</v>
      </c>
      <c r="D463" s="26" t="n">
        <v>5.396</v>
      </c>
      <c r="E463" s="6" t="n">
        <v>614</v>
      </c>
      <c r="F463" s="11" t="n">
        <v>67.09999999999999</v>
      </c>
      <c r="G463" s="11" t="n">
        <v>33</v>
      </c>
      <c r="H463" s="6" t="n">
        <v>26</v>
      </c>
      <c r="I463" s="6" t="n">
        <v>334</v>
      </c>
      <c r="J463" s="5" t="inlineStr">
        <is>
          <t>NC</t>
        </is>
      </c>
      <c r="K463" s="5" t="inlineStr">
        <is>
          <t>Condo</t>
        </is>
      </c>
      <c r="L463" s="5" t="inlineStr">
        <is>
          <t>Meridian Home Loans</t>
        </is>
      </c>
      <c r="M463" s="5" t="inlineStr">
        <is>
          <t>Northgate Servicing</t>
        </is>
      </c>
    </row>
    <row r="464">
      <c r="A464" s="7" t="inlineStr">
        <is>
          <t>L100459</t>
        </is>
      </c>
      <c r="B464" s="8" t="n">
        <v>240613.7</v>
      </c>
      <c r="C464" s="8" t="n">
        <v>232871.18</v>
      </c>
      <c r="D464" s="27" t="n">
        <v>6.747</v>
      </c>
      <c r="E464" s="10" t="n">
        <v>610</v>
      </c>
      <c r="F464" s="12" t="n">
        <v>76.5</v>
      </c>
      <c r="G464" s="12" t="n">
        <v>43.2</v>
      </c>
      <c r="H464" s="10" t="n">
        <v>34</v>
      </c>
      <c r="I464" s="10" t="n">
        <v>326</v>
      </c>
      <c r="J464" s="7" t="inlineStr">
        <is>
          <t>FL</t>
        </is>
      </c>
      <c r="K464" s="7" t="inlineStr">
        <is>
          <t>SFR</t>
        </is>
      </c>
      <c r="L464" s="7" t="inlineStr">
        <is>
          <t>Meridian Home Loans</t>
        </is>
      </c>
      <c r="M464" s="7" t="inlineStr">
        <is>
          <t>Summit Loan Servicing</t>
        </is>
      </c>
    </row>
    <row r="465">
      <c r="A465" s="5" t="inlineStr">
        <is>
          <t>L100460</t>
        </is>
      </c>
      <c r="B465" s="16" t="n">
        <v>270998.31</v>
      </c>
      <c r="C465" s="16" t="n">
        <v>260235.67</v>
      </c>
      <c r="D465" s="26" t="n">
        <v>5.92</v>
      </c>
      <c r="E465" s="6" t="n">
        <v>646</v>
      </c>
      <c r="F465" s="11" t="n">
        <v>78.59999999999999</v>
      </c>
      <c r="G465" s="11" t="n">
        <v>46.3</v>
      </c>
      <c r="H465" s="6" t="n">
        <v>36</v>
      </c>
      <c r="I465" s="6" t="n">
        <v>324</v>
      </c>
      <c r="J465" s="5" t="inlineStr">
        <is>
          <t>FL</t>
        </is>
      </c>
      <c r="K465" s="5" t="inlineStr">
        <is>
          <t>Condo</t>
        </is>
      </c>
      <c r="L465" s="5" t="inlineStr">
        <is>
          <t>Apex Funding</t>
        </is>
      </c>
      <c r="M465" s="5" t="inlineStr">
        <is>
          <t>Pier Asset Mgmt</t>
        </is>
      </c>
    </row>
    <row r="466">
      <c r="A466" s="7" t="inlineStr">
        <is>
          <t>L100461</t>
        </is>
      </c>
      <c r="B466" s="8" t="n">
        <v>181374.81</v>
      </c>
      <c r="C466" s="8" t="n">
        <v>179359.43</v>
      </c>
      <c r="D466" s="27" t="n">
        <v>6.531</v>
      </c>
      <c r="E466" s="10" t="n">
        <v>643</v>
      </c>
      <c r="F466" s="12" t="n">
        <v>73.40000000000001</v>
      </c>
      <c r="G466" s="12" t="n">
        <v>43.8</v>
      </c>
      <c r="H466" s="10" t="n">
        <v>12</v>
      </c>
      <c r="I466" s="10" t="n">
        <v>348</v>
      </c>
      <c r="J466" s="7" t="inlineStr">
        <is>
          <t>NC</t>
        </is>
      </c>
      <c r="K466" s="7" t="inlineStr">
        <is>
          <t>Condo</t>
        </is>
      </c>
      <c r="L466" s="7" t="inlineStr">
        <is>
          <t>Coastal Mortgage Co</t>
        </is>
      </c>
      <c r="M466" s="7" t="inlineStr">
        <is>
          <t>Northgate Servicing</t>
        </is>
      </c>
    </row>
    <row r="467">
      <c r="A467" s="5" t="inlineStr">
        <is>
          <t>L100462</t>
        </is>
      </c>
      <c r="B467" s="16" t="n">
        <v>139197.82</v>
      </c>
      <c r="C467" s="16" t="n">
        <v>135124.51</v>
      </c>
      <c r="D467" s="26" t="n">
        <v>5.191</v>
      </c>
      <c r="E467" s="6" t="n">
        <v>706</v>
      </c>
      <c r="F467" s="11" t="n">
        <v>87</v>
      </c>
      <c r="G467" s="11" t="n">
        <v>33.8</v>
      </c>
      <c r="H467" s="6" t="n">
        <v>24</v>
      </c>
      <c r="I467" s="6" t="n">
        <v>336</v>
      </c>
      <c r="J467" s="5" t="inlineStr">
        <is>
          <t>TX</t>
        </is>
      </c>
      <c r="K467" s="5" t="inlineStr">
        <is>
          <t>SFR</t>
        </is>
      </c>
      <c r="L467" s="5" t="inlineStr">
        <is>
          <t>Highline Capital</t>
        </is>
      </c>
      <c r="M467" s="5" t="inlineStr">
        <is>
          <t>Pier Asset Mgmt</t>
        </is>
      </c>
    </row>
    <row r="468">
      <c r="A468" s="7" t="inlineStr">
        <is>
          <t>L100463</t>
        </is>
      </c>
      <c r="B468" s="8" t="n">
        <v>117530.81</v>
      </c>
      <c r="C468" s="8" t="n">
        <v>112379.29</v>
      </c>
      <c r="D468" s="27" t="n">
        <v>6.173</v>
      </c>
      <c r="E468" s="10" t="n">
        <v>650</v>
      </c>
      <c r="F468" s="12" t="n">
        <v>66.59999999999999</v>
      </c>
      <c r="G468" s="12" t="n">
        <v>42</v>
      </c>
      <c r="H468" s="10" t="n">
        <v>41</v>
      </c>
      <c r="I468" s="10" t="n">
        <v>319</v>
      </c>
      <c r="J468" s="7" t="inlineStr">
        <is>
          <t>CA</t>
        </is>
      </c>
      <c r="K468" s="7" t="inlineStr">
        <is>
          <t>2-4 Unit</t>
        </is>
      </c>
      <c r="L468" s="7" t="inlineStr">
        <is>
          <t>Highline Capital</t>
        </is>
      </c>
      <c r="M468" s="7" t="inlineStr">
        <is>
          <t>Northgate Servicing</t>
        </is>
      </c>
    </row>
    <row r="469">
      <c r="A469" s="5" t="inlineStr">
        <is>
          <t>L100464</t>
        </is>
      </c>
      <c r="B469" s="16" t="n">
        <v>164212.33</v>
      </c>
      <c r="C469" s="16" t="n">
        <v>163537.12</v>
      </c>
      <c r="D469" s="26" t="n">
        <v>7.043</v>
      </c>
      <c r="E469" s="6" t="n">
        <v>676</v>
      </c>
      <c r="F469" s="11" t="n">
        <v>85.8</v>
      </c>
      <c r="G469" s="11" t="n">
        <v>36.6</v>
      </c>
      <c r="H469" s="6" t="n">
        <v>5</v>
      </c>
      <c r="I469" s="6" t="n">
        <v>355</v>
      </c>
      <c r="J469" s="5" t="inlineStr">
        <is>
          <t>OH</t>
        </is>
      </c>
      <c r="K469" s="5" t="inlineStr">
        <is>
          <t>SFR</t>
        </is>
      </c>
      <c r="L469" s="5" t="inlineStr">
        <is>
          <t>Meridian Home Loans</t>
        </is>
      </c>
      <c r="M469" s="5" t="inlineStr">
        <is>
          <t>Northgate Servicing</t>
        </is>
      </c>
    </row>
    <row r="470">
      <c r="A470" s="7" t="inlineStr">
        <is>
          <t>L100465</t>
        </is>
      </c>
      <c r="B470" s="8" t="n">
        <v>206790.95</v>
      </c>
      <c r="C470" s="8" t="n">
        <v>203359.97</v>
      </c>
      <c r="D470" s="27" t="n">
        <v>6.945</v>
      </c>
      <c r="E470" s="10" t="n">
        <v>672</v>
      </c>
      <c r="F470" s="12" t="n">
        <v>80.5</v>
      </c>
      <c r="G470" s="12" t="n">
        <v>26.1</v>
      </c>
      <c r="H470" s="10" t="n">
        <v>19</v>
      </c>
      <c r="I470" s="10" t="n">
        <v>341</v>
      </c>
      <c r="J470" s="7" t="inlineStr">
        <is>
          <t>FL</t>
        </is>
      </c>
      <c r="K470" s="7" t="inlineStr">
        <is>
          <t>SFR</t>
        </is>
      </c>
      <c r="L470" s="7" t="inlineStr">
        <is>
          <t>Apex Funding</t>
        </is>
      </c>
      <c r="M470" s="7" t="inlineStr">
        <is>
          <t>Summit Loan Servicing</t>
        </is>
      </c>
    </row>
    <row r="471">
      <c r="A471" s="5" t="inlineStr">
        <is>
          <t>L100466</t>
        </is>
      </c>
      <c r="B471" s="16" t="n">
        <v>219121.78</v>
      </c>
      <c r="C471" s="16" t="n">
        <v>207545.23</v>
      </c>
      <c r="D471" s="26" t="n">
        <v>5.69</v>
      </c>
      <c r="E471" s="6" t="n">
        <v>691</v>
      </c>
      <c r="F471" s="11" t="n">
        <v>73.90000000000001</v>
      </c>
      <c r="G471" s="11" t="n">
        <v>41.4</v>
      </c>
      <c r="H471" s="6" t="n">
        <v>45</v>
      </c>
      <c r="I471" s="6" t="n">
        <v>315</v>
      </c>
      <c r="J471" s="5" t="inlineStr">
        <is>
          <t>TX</t>
        </is>
      </c>
      <c r="K471" s="5" t="inlineStr">
        <is>
          <t>Multifamily</t>
        </is>
      </c>
      <c r="L471" s="5" t="inlineStr">
        <is>
          <t>Highline Capital</t>
        </is>
      </c>
      <c r="M471" s="5" t="inlineStr">
        <is>
          <t>Northgate Servicing</t>
        </is>
      </c>
    </row>
    <row r="472">
      <c r="A472" s="7" t="inlineStr">
        <is>
          <t>L100467</t>
        </is>
      </c>
      <c r="B472" s="8" t="n">
        <v>478317.93</v>
      </c>
      <c r="C472" s="8" t="n">
        <v>472822.67</v>
      </c>
      <c r="D472" s="27" t="n">
        <v>5.349</v>
      </c>
      <c r="E472" s="10" t="n">
        <v>788</v>
      </c>
      <c r="F472" s="12" t="n">
        <v>70.2</v>
      </c>
      <c r="G472" s="12" t="n">
        <v>37.2</v>
      </c>
      <c r="H472" s="10" t="n">
        <v>10</v>
      </c>
      <c r="I472" s="10" t="n">
        <v>350</v>
      </c>
      <c r="J472" s="7" t="inlineStr">
        <is>
          <t>AZ</t>
        </is>
      </c>
      <c r="K472" s="7" t="inlineStr">
        <is>
          <t>Condo</t>
        </is>
      </c>
      <c r="L472" s="7" t="inlineStr">
        <is>
          <t>Highline Capital</t>
        </is>
      </c>
      <c r="M472" s="7" t="inlineStr">
        <is>
          <t>Northgate Servicing</t>
        </is>
      </c>
    </row>
    <row r="473">
      <c r="A473" s="5" t="inlineStr">
        <is>
          <t>L100468</t>
        </is>
      </c>
      <c r="B473" s="16" t="n">
        <v>357574.02</v>
      </c>
      <c r="C473" s="16" t="n">
        <v>352454.83</v>
      </c>
      <c r="D473" s="26" t="n">
        <v>6.414</v>
      </c>
      <c r="E473" s="6" t="n">
        <v>751</v>
      </c>
      <c r="F473" s="11" t="n">
        <v>97</v>
      </c>
      <c r="G473" s="11" t="n">
        <v>55</v>
      </c>
      <c r="H473" s="6" t="n">
        <v>15</v>
      </c>
      <c r="I473" s="6" t="n">
        <v>345</v>
      </c>
      <c r="J473" s="5" t="inlineStr">
        <is>
          <t>GA</t>
        </is>
      </c>
      <c r="K473" s="5" t="inlineStr">
        <is>
          <t>SFR</t>
        </is>
      </c>
      <c r="L473" s="5" t="inlineStr">
        <is>
          <t>Apex Funding</t>
        </is>
      </c>
      <c r="M473" s="5" t="inlineStr">
        <is>
          <t>Summit Loan Servicing</t>
        </is>
      </c>
    </row>
    <row r="474">
      <c r="A474" s="7" t="inlineStr">
        <is>
          <t>L100469</t>
        </is>
      </c>
      <c r="B474" s="8" t="n">
        <v>173384.7</v>
      </c>
      <c r="C474" s="8" t="n">
        <v>169998.87</v>
      </c>
      <c r="D474" s="27" t="n">
        <v>6.905</v>
      </c>
      <c r="E474" s="10" t="n">
        <v>716</v>
      </c>
      <c r="F474" s="12" t="n">
        <v>64.2</v>
      </c>
      <c r="G474" s="12" t="n">
        <v>47.7</v>
      </c>
      <c r="H474" s="10" t="n">
        <v>22</v>
      </c>
      <c r="I474" s="10" t="n">
        <v>338</v>
      </c>
      <c r="J474" s="7" t="inlineStr">
        <is>
          <t>TX</t>
        </is>
      </c>
      <c r="K474" s="7" t="inlineStr">
        <is>
          <t>SFR</t>
        </is>
      </c>
      <c r="L474" s="7" t="inlineStr">
        <is>
          <t>Coastal Mortgage Co</t>
        </is>
      </c>
      <c r="M474" s="7" t="inlineStr">
        <is>
          <t>Pier Asset Mgmt</t>
        </is>
      </c>
    </row>
    <row r="475">
      <c r="A475" s="5" t="inlineStr">
        <is>
          <t>L100470</t>
        </is>
      </c>
      <c r="B475" s="16" t="n">
        <v>274223.28</v>
      </c>
      <c r="C475" s="16" t="n">
        <v>242297.04</v>
      </c>
      <c r="D475" s="26" t="n">
        <v>6.765</v>
      </c>
      <c r="E475" s="6" t="n">
        <v>690</v>
      </c>
      <c r="F475" s="11" t="n">
        <v>77.59999999999999</v>
      </c>
      <c r="G475" s="11" t="n">
        <v>41.7</v>
      </c>
      <c r="H475" s="6" t="n">
        <v>33</v>
      </c>
      <c r="I475" s="6" t="n">
        <v>147</v>
      </c>
      <c r="J475" s="5" t="inlineStr">
        <is>
          <t>OH</t>
        </is>
      </c>
      <c r="K475" s="5" t="inlineStr">
        <is>
          <t>SFR</t>
        </is>
      </c>
      <c r="L475" s="5" t="inlineStr">
        <is>
          <t>Highline Capital</t>
        </is>
      </c>
      <c r="M475" s="5" t="inlineStr">
        <is>
          <t>Northgate Servicing</t>
        </is>
      </c>
    </row>
    <row r="476">
      <c r="A476" s="7" t="inlineStr">
        <is>
          <t>L100471</t>
        </is>
      </c>
      <c r="B476" s="8" t="n">
        <v>210559.3</v>
      </c>
      <c r="C476" s="8" t="n">
        <v>207944.03</v>
      </c>
      <c r="D476" s="27" t="n">
        <v>5.939</v>
      </c>
      <c r="E476" s="10" t="n">
        <v>691</v>
      </c>
      <c r="F476" s="12" t="n">
        <v>65</v>
      </c>
      <c r="G476" s="12" t="n">
        <v>38</v>
      </c>
      <c r="H476" s="10" t="n">
        <v>12</v>
      </c>
      <c r="I476" s="10" t="n">
        <v>348</v>
      </c>
      <c r="J476" s="7" t="inlineStr">
        <is>
          <t>FL</t>
        </is>
      </c>
      <c r="K476" s="7" t="inlineStr">
        <is>
          <t>SFR</t>
        </is>
      </c>
      <c r="L476" s="7" t="inlineStr">
        <is>
          <t>Coastal Mortgage Co</t>
        </is>
      </c>
      <c r="M476" s="7" t="inlineStr">
        <is>
          <t>Summit Loan Servicing</t>
        </is>
      </c>
    </row>
    <row r="477">
      <c r="A477" s="5" t="inlineStr">
        <is>
          <t>L100472</t>
        </is>
      </c>
      <c r="B477" s="16" t="n">
        <v>219799.85</v>
      </c>
      <c r="C477" s="16" t="n">
        <v>211688.51</v>
      </c>
      <c r="D477" s="26" t="n">
        <v>6.668</v>
      </c>
      <c r="E477" s="6" t="n">
        <v>733</v>
      </c>
      <c r="F477" s="11" t="n">
        <v>95.40000000000001</v>
      </c>
      <c r="G477" s="11" t="n">
        <v>37.3</v>
      </c>
      <c r="H477" s="6" t="n">
        <v>38</v>
      </c>
      <c r="I477" s="6" t="n">
        <v>322</v>
      </c>
      <c r="J477" s="5" t="inlineStr">
        <is>
          <t>NC</t>
        </is>
      </c>
      <c r="K477" s="5" t="inlineStr">
        <is>
          <t>SFR</t>
        </is>
      </c>
      <c r="L477" s="5" t="inlineStr">
        <is>
          <t>Highline Capital</t>
        </is>
      </c>
      <c r="M477" s="5" t="inlineStr">
        <is>
          <t>Pier Asset Mgmt</t>
        </is>
      </c>
    </row>
    <row r="478">
      <c r="A478" s="7" t="inlineStr">
        <is>
          <t>L100473</t>
        </is>
      </c>
      <c r="B478" s="8" t="n">
        <v>259072.7</v>
      </c>
      <c r="C478" s="8" t="n">
        <v>249555.98</v>
      </c>
      <c r="D478" s="27" t="n">
        <v>7.752</v>
      </c>
      <c r="E478" s="10" t="n">
        <v>747</v>
      </c>
      <c r="F478" s="12" t="n">
        <v>84.59999999999999</v>
      </c>
      <c r="G478" s="12" t="n">
        <v>28</v>
      </c>
      <c r="H478" s="10" t="n">
        <v>12</v>
      </c>
      <c r="I478" s="10" t="n">
        <v>168</v>
      </c>
      <c r="J478" s="7" t="inlineStr">
        <is>
          <t>NC</t>
        </is>
      </c>
      <c r="K478" s="7" t="inlineStr">
        <is>
          <t>SFR</t>
        </is>
      </c>
      <c r="L478" s="7" t="inlineStr">
        <is>
          <t>Coastal Mortgage Co</t>
        </is>
      </c>
      <c r="M478" s="7" t="inlineStr">
        <is>
          <t>Pier Asset Mgmt</t>
        </is>
      </c>
    </row>
    <row r="479">
      <c r="A479" s="5" t="inlineStr">
        <is>
          <t>L100474</t>
        </is>
      </c>
      <c r="B479" s="16" t="n">
        <v>301555.66</v>
      </c>
      <c r="C479" s="16" t="n">
        <v>296497.32</v>
      </c>
      <c r="D479" s="26" t="n">
        <v>6.585</v>
      </c>
      <c r="E479" s="6" t="n">
        <v>665</v>
      </c>
      <c r="F479" s="11" t="n">
        <v>65.90000000000001</v>
      </c>
      <c r="G479" s="11" t="n">
        <v>22.1</v>
      </c>
      <c r="H479" s="6" t="n">
        <v>18</v>
      </c>
      <c r="I479" s="6" t="n">
        <v>342</v>
      </c>
      <c r="J479" s="5" t="inlineStr">
        <is>
          <t>OH</t>
        </is>
      </c>
      <c r="K479" s="5" t="inlineStr">
        <is>
          <t>SFR</t>
        </is>
      </c>
      <c r="L479" s="5" t="inlineStr">
        <is>
          <t>Highline Capital</t>
        </is>
      </c>
      <c r="M479" s="5" t="inlineStr">
        <is>
          <t>Northgate Servicing</t>
        </is>
      </c>
    </row>
    <row r="480">
      <c r="A480" s="7" t="inlineStr">
        <is>
          <t>L100475</t>
        </is>
      </c>
      <c r="B480" s="8" t="n">
        <v>215617.12</v>
      </c>
      <c r="C480" s="8" t="n">
        <v>208139.36</v>
      </c>
      <c r="D480" s="27" t="n">
        <v>4.93</v>
      </c>
      <c r="E480" s="10" t="n">
        <v>717</v>
      </c>
      <c r="F480" s="12" t="n">
        <v>80.2</v>
      </c>
      <c r="G480" s="12" t="n">
        <v>29</v>
      </c>
      <c r="H480" s="10" t="n">
        <v>27</v>
      </c>
      <c r="I480" s="10" t="n">
        <v>333</v>
      </c>
      <c r="J480" s="7" t="inlineStr">
        <is>
          <t>AZ</t>
        </is>
      </c>
      <c r="K480" s="7" t="inlineStr">
        <is>
          <t>Condo</t>
        </is>
      </c>
      <c r="L480" s="7" t="inlineStr">
        <is>
          <t>Highline Capital</t>
        </is>
      </c>
      <c r="M480" s="7" t="inlineStr">
        <is>
          <t>Summit Loan Servicing</t>
        </is>
      </c>
    </row>
    <row r="481">
      <c r="A481" s="5" t="inlineStr">
        <is>
          <t>L100476</t>
        </is>
      </c>
      <c r="B481" s="16" t="n">
        <v>352338.64</v>
      </c>
      <c r="C481" s="16" t="n">
        <v>352025.22</v>
      </c>
      <c r="D481" s="26" t="n">
        <v>6.583</v>
      </c>
      <c r="E481" s="6" t="n">
        <v>603</v>
      </c>
      <c r="F481" s="11" t="n">
        <v>77.09999999999999</v>
      </c>
      <c r="G481" s="11" t="n">
        <v>35.6</v>
      </c>
      <c r="H481" s="6" t="n">
        <v>1</v>
      </c>
      <c r="I481" s="6" t="n">
        <v>359</v>
      </c>
      <c r="J481" s="5" t="inlineStr">
        <is>
          <t>AZ</t>
        </is>
      </c>
      <c r="K481" s="5" t="inlineStr">
        <is>
          <t>SFR</t>
        </is>
      </c>
      <c r="L481" s="5" t="inlineStr">
        <is>
          <t>Apex Funding</t>
        </is>
      </c>
      <c r="M481" s="5" t="inlineStr">
        <is>
          <t>Summit Loan Servicing</t>
        </is>
      </c>
    </row>
    <row r="482">
      <c r="A482" s="7" t="inlineStr">
        <is>
          <t>L100477</t>
        </is>
      </c>
      <c r="B482" s="8" t="n">
        <v>162807.15</v>
      </c>
      <c r="C482" s="8" t="n">
        <v>143480.79</v>
      </c>
      <c r="D482" s="27" t="n">
        <v>8.24</v>
      </c>
      <c r="E482" s="10" t="n">
        <v>727</v>
      </c>
      <c r="F482" s="12" t="n">
        <v>67.8</v>
      </c>
      <c r="G482" s="12" t="n">
        <v>19.2</v>
      </c>
      <c r="H482" s="10" t="n">
        <v>37</v>
      </c>
      <c r="I482" s="10" t="n">
        <v>143</v>
      </c>
      <c r="J482" s="7" t="inlineStr">
        <is>
          <t>CA</t>
        </is>
      </c>
      <c r="K482" s="7" t="inlineStr">
        <is>
          <t>SFR</t>
        </is>
      </c>
      <c r="L482" s="7" t="inlineStr">
        <is>
          <t>Meridian Home Loans</t>
        </is>
      </c>
      <c r="M482" s="7" t="inlineStr">
        <is>
          <t>Northgate Servicing</t>
        </is>
      </c>
    </row>
    <row r="483">
      <c r="A483" s="5" t="inlineStr">
        <is>
          <t>L100478</t>
        </is>
      </c>
      <c r="B483" s="16" t="n">
        <v>243340.91</v>
      </c>
      <c r="C483" s="16" t="n">
        <v>212769.9</v>
      </c>
      <c r="D483" s="26" t="n">
        <v>5.241</v>
      </c>
      <c r="E483" s="6" t="n">
        <v>757</v>
      </c>
      <c r="F483" s="11" t="n">
        <v>83.09999999999999</v>
      </c>
      <c r="G483" s="11" t="n">
        <v>31.6</v>
      </c>
      <c r="H483" s="6" t="n">
        <v>32</v>
      </c>
      <c r="I483" s="6" t="n">
        <v>148</v>
      </c>
      <c r="J483" s="5" t="inlineStr">
        <is>
          <t>WA</t>
        </is>
      </c>
      <c r="K483" s="5" t="inlineStr">
        <is>
          <t>2-4 Unit</t>
        </is>
      </c>
      <c r="L483" s="5" t="inlineStr">
        <is>
          <t>Meridian Home Loans</t>
        </is>
      </c>
      <c r="M483" s="5" t="inlineStr">
        <is>
          <t>Northgate Servicing</t>
        </is>
      </c>
    </row>
    <row r="484">
      <c r="A484" s="7" t="inlineStr">
        <is>
          <t>L100479</t>
        </is>
      </c>
      <c r="B484" s="8" t="n">
        <v>602706.61</v>
      </c>
      <c r="C484" s="8" t="n">
        <v>578128.05</v>
      </c>
      <c r="D484" s="27" t="n">
        <v>6.427</v>
      </c>
      <c r="E484" s="10" t="n">
        <v>700</v>
      </c>
      <c r="F484" s="12" t="n">
        <v>78.7</v>
      </c>
      <c r="G484" s="12" t="n">
        <v>34</v>
      </c>
      <c r="H484" s="10" t="n">
        <v>40</v>
      </c>
      <c r="I484" s="10" t="n">
        <v>320</v>
      </c>
      <c r="J484" s="7" t="inlineStr">
        <is>
          <t>TX</t>
        </is>
      </c>
      <c r="K484" s="7" t="inlineStr">
        <is>
          <t>SFR</t>
        </is>
      </c>
      <c r="L484" s="7" t="inlineStr">
        <is>
          <t>Highline Capital</t>
        </is>
      </c>
      <c r="M484" s="7" t="inlineStr">
        <is>
          <t>Northgate Servicing</t>
        </is>
      </c>
    </row>
    <row r="485">
      <c r="A485" s="5" t="inlineStr">
        <is>
          <t>L100480</t>
        </is>
      </c>
      <c r="B485" s="16" t="n">
        <v>262518.78</v>
      </c>
      <c r="C485" s="16" t="n">
        <v>259143.47</v>
      </c>
      <c r="D485" s="26" t="n">
        <v>6.196</v>
      </c>
      <c r="E485" s="6" t="n">
        <v>815</v>
      </c>
      <c r="F485" s="11" t="n">
        <v>76.59999999999999</v>
      </c>
      <c r="G485" s="11" t="n">
        <v>34.3</v>
      </c>
      <c r="H485" s="6" t="n">
        <v>13</v>
      </c>
      <c r="I485" s="6" t="n">
        <v>347</v>
      </c>
      <c r="J485" s="5" t="inlineStr">
        <is>
          <t>FL</t>
        </is>
      </c>
      <c r="K485" s="5" t="inlineStr">
        <is>
          <t>Condo</t>
        </is>
      </c>
      <c r="L485" s="5" t="inlineStr">
        <is>
          <t>Highline Capital</t>
        </is>
      </c>
      <c r="M485" s="5" t="inlineStr">
        <is>
          <t>Pier Asset Mgmt</t>
        </is>
      </c>
    </row>
    <row r="486">
      <c r="A486" s="7" t="inlineStr">
        <is>
          <t>L100481</t>
        </is>
      </c>
      <c r="B486" s="8" t="n">
        <v>400963.26</v>
      </c>
      <c r="C486" s="8" t="n">
        <v>393711</v>
      </c>
      <c r="D486" s="27" t="n">
        <v>6.486</v>
      </c>
      <c r="E486" s="10" t="n">
        <v>667</v>
      </c>
      <c r="F486" s="12" t="n">
        <v>73.5</v>
      </c>
      <c r="G486" s="12" t="n">
        <v>30.7</v>
      </c>
      <c r="H486" s="10" t="n">
        <v>19</v>
      </c>
      <c r="I486" s="10" t="n">
        <v>341</v>
      </c>
      <c r="J486" s="7" t="inlineStr">
        <is>
          <t>IL</t>
        </is>
      </c>
      <c r="K486" s="7" t="inlineStr">
        <is>
          <t>SFR</t>
        </is>
      </c>
      <c r="L486" s="7" t="inlineStr">
        <is>
          <t>Apex Funding</t>
        </is>
      </c>
      <c r="M486" s="7" t="inlineStr">
        <is>
          <t>Northgate Servicing</t>
        </is>
      </c>
    </row>
    <row r="487">
      <c r="A487" s="5" t="inlineStr">
        <is>
          <t>L100482</t>
        </is>
      </c>
      <c r="B487" s="16" t="n">
        <v>250704.96</v>
      </c>
      <c r="C487" s="16" t="n">
        <v>239908</v>
      </c>
      <c r="D487" s="26" t="n">
        <v>6.575</v>
      </c>
      <c r="E487" s="6" t="n">
        <v>727</v>
      </c>
      <c r="F487" s="11" t="n">
        <v>79.2</v>
      </c>
      <c r="G487" s="11" t="n">
        <v>33.3</v>
      </c>
      <c r="H487" s="6" t="n">
        <v>43</v>
      </c>
      <c r="I487" s="6" t="n">
        <v>317</v>
      </c>
      <c r="J487" s="5" t="inlineStr">
        <is>
          <t>FL</t>
        </is>
      </c>
      <c r="K487" s="5" t="inlineStr">
        <is>
          <t>SFR</t>
        </is>
      </c>
      <c r="L487" s="5" t="inlineStr">
        <is>
          <t>Highline Capital</t>
        </is>
      </c>
      <c r="M487" s="5" t="inlineStr">
        <is>
          <t>Pier Asset Mgmt</t>
        </is>
      </c>
    </row>
    <row r="488">
      <c r="A488" s="7" t="inlineStr">
        <is>
          <t>L100483</t>
        </is>
      </c>
      <c r="B488" s="8" t="n">
        <v>297530.49</v>
      </c>
      <c r="C488" s="8" t="n">
        <v>296625.72</v>
      </c>
      <c r="D488" s="27" t="n">
        <v>7.426</v>
      </c>
      <c r="E488" s="10" t="n">
        <v>713</v>
      </c>
      <c r="F488" s="12" t="n">
        <v>76.8</v>
      </c>
      <c r="G488" s="12" t="n">
        <v>49.8</v>
      </c>
      <c r="H488" s="10" t="n">
        <v>4</v>
      </c>
      <c r="I488" s="10" t="n">
        <v>356</v>
      </c>
      <c r="J488" s="7" t="inlineStr">
        <is>
          <t>GA</t>
        </is>
      </c>
      <c r="K488" s="7" t="inlineStr">
        <is>
          <t>Condo</t>
        </is>
      </c>
      <c r="L488" s="7" t="inlineStr">
        <is>
          <t>Highline Capital</t>
        </is>
      </c>
      <c r="M488" s="7" t="inlineStr">
        <is>
          <t>Northgate Servicing</t>
        </is>
      </c>
    </row>
    <row r="489">
      <c r="A489" s="5" t="inlineStr">
        <is>
          <t>L100484</t>
        </is>
      </c>
      <c r="B489" s="16" t="n">
        <v>238023.78</v>
      </c>
      <c r="C489" s="16" t="n">
        <v>232500.3</v>
      </c>
      <c r="D489" s="26" t="n">
        <v>6.476</v>
      </c>
      <c r="E489" s="6" t="n">
        <v>709</v>
      </c>
      <c r="F489" s="11" t="n">
        <v>74.7</v>
      </c>
      <c r="G489" s="11" t="n">
        <v>41.3</v>
      </c>
      <c r="H489" s="6" t="n">
        <v>24</v>
      </c>
      <c r="I489" s="6" t="n">
        <v>336</v>
      </c>
      <c r="J489" s="5" t="inlineStr">
        <is>
          <t>CA</t>
        </is>
      </c>
      <c r="K489" s="5" t="inlineStr">
        <is>
          <t>SFR</t>
        </is>
      </c>
      <c r="L489" s="5" t="inlineStr">
        <is>
          <t>Coastal Mortgage Co</t>
        </is>
      </c>
      <c r="M489" s="5" t="inlineStr">
        <is>
          <t>Pier Asset Mgmt</t>
        </is>
      </c>
    </row>
    <row r="490">
      <c r="A490" s="7" t="inlineStr">
        <is>
          <t>L100485</t>
        </is>
      </c>
      <c r="B490" s="8" t="n">
        <v>228743.68</v>
      </c>
      <c r="C490" s="8" t="n">
        <v>224598.4</v>
      </c>
      <c r="D490" s="27" t="n">
        <v>7.55</v>
      </c>
      <c r="E490" s="10" t="n">
        <v>709</v>
      </c>
      <c r="F490" s="12" t="n">
        <v>66.3</v>
      </c>
      <c r="G490" s="12" t="n">
        <v>31.5</v>
      </c>
      <c r="H490" s="10" t="n">
        <v>23</v>
      </c>
      <c r="I490" s="10" t="n">
        <v>337</v>
      </c>
      <c r="J490" s="7" t="inlineStr">
        <is>
          <t>IL</t>
        </is>
      </c>
      <c r="K490" s="7" t="inlineStr">
        <is>
          <t>SFR</t>
        </is>
      </c>
      <c r="L490" s="7" t="inlineStr">
        <is>
          <t>Highline Capital</t>
        </is>
      </c>
      <c r="M490" s="7" t="inlineStr">
        <is>
          <t>Pier Asset Mgmt</t>
        </is>
      </c>
    </row>
    <row r="491">
      <c r="A491" s="5" t="inlineStr">
        <is>
          <t>L100486</t>
        </is>
      </c>
      <c r="B491" s="16" t="n">
        <v>184828.04</v>
      </c>
      <c r="C491" s="16" t="n">
        <v>170415.25</v>
      </c>
      <c r="D491" s="26" t="n">
        <v>6.294</v>
      </c>
      <c r="E491" s="6" t="n">
        <v>721</v>
      </c>
      <c r="F491" s="11" t="n">
        <v>94.3</v>
      </c>
      <c r="G491" s="11" t="n">
        <v>35.5</v>
      </c>
      <c r="H491" s="6" t="n">
        <v>22</v>
      </c>
      <c r="I491" s="6" t="n">
        <v>158</v>
      </c>
      <c r="J491" s="5" t="inlineStr">
        <is>
          <t>NY</t>
        </is>
      </c>
      <c r="K491" s="5" t="inlineStr">
        <is>
          <t>2-4 Unit</t>
        </is>
      </c>
      <c r="L491" s="5" t="inlineStr">
        <is>
          <t>Highline Capital</t>
        </is>
      </c>
      <c r="M491" s="5" t="inlineStr">
        <is>
          <t>Summit Loan Servicing</t>
        </is>
      </c>
    </row>
    <row r="492">
      <c r="A492" s="7" t="inlineStr">
        <is>
          <t>L100487</t>
        </is>
      </c>
      <c r="B492" s="8" t="n">
        <v>282266.09</v>
      </c>
      <c r="C492" s="8" t="n">
        <v>276156.37</v>
      </c>
      <c r="D492" s="27" t="n">
        <v>6.085</v>
      </c>
      <c r="E492" s="10" t="n">
        <v>762</v>
      </c>
      <c r="F492" s="12" t="n">
        <v>61.4</v>
      </c>
      <c r="G492" s="12" t="n">
        <v>35.8</v>
      </c>
      <c r="H492" s="10" t="n">
        <v>21</v>
      </c>
      <c r="I492" s="10" t="n">
        <v>339</v>
      </c>
      <c r="J492" s="7" t="inlineStr">
        <is>
          <t>NC</t>
        </is>
      </c>
      <c r="K492" s="7" t="inlineStr">
        <is>
          <t>SFR</t>
        </is>
      </c>
      <c r="L492" s="7" t="inlineStr">
        <is>
          <t>Coastal Mortgage Co</t>
        </is>
      </c>
      <c r="M492" s="7" t="inlineStr">
        <is>
          <t>Northgate Servicing</t>
        </is>
      </c>
    </row>
    <row r="493">
      <c r="A493" s="5" t="inlineStr">
        <is>
          <t>L100488</t>
        </is>
      </c>
      <c r="B493" s="16" t="n">
        <v>180225.11</v>
      </c>
      <c r="C493" s="16" t="n">
        <v>172912.66</v>
      </c>
      <c r="D493" s="26" t="n">
        <v>5.798</v>
      </c>
      <c r="E493" s="6" t="n">
        <v>791</v>
      </c>
      <c r="F493" s="11" t="n">
        <v>79.09999999999999</v>
      </c>
      <c r="G493" s="11" t="n">
        <v>29.9</v>
      </c>
      <c r="H493" s="6" t="n">
        <v>36</v>
      </c>
      <c r="I493" s="6" t="n">
        <v>324</v>
      </c>
      <c r="J493" s="5" t="inlineStr">
        <is>
          <t>GA</t>
        </is>
      </c>
      <c r="K493" s="5" t="inlineStr">
        <is>
          <t>Condo</t>
        </is>
      </c>
      <c r="L493" s="5" t="inlineStr">
        <is>
          <t>Meridian Home Loans</t>
        </is>
      </c>
      <c r="M493" s="5" t="inlineStr">
        <is>
          <t>Pier Asset Mgmt</t>
        </is>
      </c>
    </row>
    <row r="494">
      <c r="A494" s="7" t="inlineStr">
        <is>
          <t>L100489</t>
        </is>
      </c>
      <c r="B494" s="8" t="n">
        <v>306494.42</v>
      </c>
      <c r="C494" s="8" t="n">
        <v>302579.43</v>
      </c>
      <c r="D494" s="27" t="n">
        <v>4.765</v>
      </c>
      <c r="E494" s="10" t="n">
        <v>715</v>
      </c>
      <c r="F494" s="12" t="n">
        <v>70.2</v>
      </c>
      <c r="G494" s="12" t="n">
        <v>29.8</v>
      </c>
      <c r="H494" s="10" t="n">
        <v>10</v>
      </c>
      <c r="I494" s="10" t="n">
        <v>350</v>
      </c>
      <c r="J494" s="7" t="inlineStr">
        <is>
          <t>AZ</t>
        </is>
      </c>
      <c r="K494" s="7" t="inlineStr">
        <is>
          <t>SFR</t>
        </is>
      </c>
      <c r="L494" s="7" t="inlineStr">
        <is>
          <t>Apex Funding</t>
        </is>
      </c>
      <c r="M494" s="7" t="inlineStr">
        <is>
          <t>Northgate Servicing</t>
        </is>
      </c>
    </row>
    <row r="495">
      <c r="A495" s="5" t="inlineStr">
        <is>
          <t>L100490</t>
        </is>
      </c>
      <c r="B495" s="16" t="n">
        <v>354991.97</v>
      </c>
      <c r="C495" s="16" t="n">
        <v>300558.77</v>
      </c>
      <c r="D495" s="26" t="n">
        <v>6.648</v>
      </c>
      <c r="E495" s="6" t="n">
        <v>760</v>
      </c>
      <c r="F495" s="11" t="n">
        <v>95.09999999999999</v>
      </c>
      <c r="G495" s="11" t="n">
        <v>44.1</v>
      </c>
      <c r="H495" s="6" t="n">
        <v>42</v>
      </c>
      <c r="I495" s="6" t="n">
        <v>138</v>
      </c>
      <c r="J495" s="5" t="inlineStr">
        <is>
          <t>TX</t>
        </is>
      </c>
      <c r="K495" s="5" t="inlineStr">
        <is>
          <t>SFR</t>
        </is>
      </c>
      <c r="L495" s="5" t="inlineStr">
        <is>
          <t>Coastal Mortgage Co</t>
        </is>
      </c>
      <c r="M495" s="5" t="inlineStr">
        <is>
          <t>Northgate Servicing</t>
        </is>
      </c>
    </row>
    <row r="496">
      <c r="A496" s="7" t="inlineStr">
        <is>
          <t>L100491</t>
        </is>
      </c>
      <c r="B496" s="8" t="n">
        <v>276035.84</v>
      </c>
      <c r="C496" s="8" t="n">
        <v>237153.34</v>
      </c>
      <c r="D496" s="27" t="n">
        <v>8.249000000000001</v>
      </c>
      <c r="E496" s="10" t="n">
        <v>676</v>
      </c>
      <c r="F496" s="12" t="n">
        <v>63.2</v>
      </c>
      <c r="G496" s="12" t="n">
        <v>32.6</v>
      </c>
      <c r="H496" s="10" t="n">
        <v>43</v>
      </c>
      <c r="I496" s="10" t="n">
        <v>137</v>
      </c>
      <c r="J496" s="7" t="inlineStr">
        <is>
          <t>WA</t>
        </is>
      </c>
      <c r="K496" s="7" t="inlineStr">
        <is>
          <t>Condo</t>
        </is>
      </c>
      <c r="L496" s="7" t="inlineStr">
        <is>
          <t>Coastal Mortgage Co</t>
        </is>
      </c>
      <c r="M496" s="7" t="inlineStr">
        <is>
          <t>Northgate Servicing</t>
        </is>
      </c>
    </row>
    <row r="497">
      <c r="A497" s="5" t="inlineStr">
        <is>
          <t>L100492</t>
        </is>
      </c>
      <c r="B497" s="16" t="n">
        <v>219654.9</v>
      </c>
      <c r="C497" s="16" t="n">
        <v>217934.7</v>
      </c>
      <c r="D497" s="26" t="n">
        <v>6.812</v>
      </c>
      <c r="E497" s="6" t="n">
        <v>757</v>
      </c>
      <c r="F497" s="11" t="n">
        <v>65.2</v>
      </c>
      <c r="G497" s="11" t="n">
        <v>27.2</v>
      </c>
      <c r="H497" s="6" t="n">
        <v>9</v>
      </c>
      <c r="I497" s="6" t="n">
        <v>351</v>
      </c>
      <c r="J497" s="5" t="inlineStr">
        <is>
          <t>NY</t>
        </is>
      </c>
      <c r="K497" s="5" t="inlineStr">
        <is>
          <t>SFR</t>
        </is>
      </c>
      <c r="L497" s="5" t="inlineStr">
        <is>
          <t>Apex Funding</t>
        </is>
      </c>
      <c r="M497" s="5" t="inlineStr">
        <is>
          <t>Northgate Servicing</t>
        </is>
      </c>
    </row>
    <row r="498">
      <c r="A498" s="7" t="inlineStr">
        <is>
          <t>L100493</t>
        </is>
      </c>
      <c r="B498" s="8" t="n">
        <v>284613.66</v>
      </c>
      <c r="C498" s="8" t="n">
        <v>272384.32</v>
      </c>
      <c r="D498" s="27" t="n">
        <v>7.018</v>
      </c>
      <c r="E498" s="10" t="n">
        <v>673</v>
      </c>
      <c r="F498" s="12" t="n">
        <v>62.4</v>
      </c>
      <c r="G498" s="12" t="n">
        <v>35.7</v>
      </c>
      <c r="H498" s="10" t="n">
        <v>46</v>
      </c>
      <c r="I498" s="10" t="n">
        <v>314</v>
      </c>
      <c r="J498" s="7" t="inlineStr">
        <is>
          <t>NY</t>
        </is>
      </c>
      <c r="K498" s="7" t="inlineStr">
        <is>
          <t>SFR</t>
        </is>
      </c>
      <c r="L498" s="7" t="inlineStr">
        <is>
          <t>Highline Capital</t>
        </is>
      </c>
      <c r="M498" s="7" t="inlineStr">
        <is>
          <t>Northgate Servicing</t>
        </is>
      </c>
    </row>
    <row r="499">
      <c r="A499" s="5" t="inlineStr">
        <is>
          <t>L100494</t>
        </is>
      </c>
      <c r="B499" s="16" t="n">
        <v>217937.68</v>
      </c>
      <c r="C499" s="16" t="n">
        <v>215046.17</v>
      </c>
      <c r="D499" s="26" t="n">
        <v>6.028</v>
      </c>
      <c r="E499" s="6" t="n">
        <v>775</v>
      </c>
      <c r="F499" s="11" t="n">
        <v>77.90000000000001</v>
      </c>
      <c r="G499" s="11" t="n">
        <v>36.9</v>
      </c>
      <c r="H499" s="6" t="n">
        <v>13</v>
      </c>
      <c r="I499" s="6" t="n">
        <v>347</v>
      </c>
      <c r="J499" s="5" t="inlineStr">
        <is>
          <t>GA</t>
        </is>
      </c>
      <c r="K499" s="5" t="inlineStr">
        <is>
          <t>Multifamily</t>
        </is>
      </c>
      <c r="L499" s="5" t="inlineStr">
        <is>
          <t>Meridian Home Loans</t>
        </is>
      </c>
      <c r="M499" s="5" t="inlineStr">
        <is>
          <t>Pier Asset Mgmt</t>
        </is>
      </c>
    </row>
    <row r="500">
      <c r="A500" s="7" t="inlineStr">
        <is>
          <t>L100495</t>
        </is>
      </c>
      <c r="B500" s="8" t="n">
        <v>336866.33</v>
      </c>
      <c r="C500" s="8" t="n">
        <v>335889.41</v>
      </c>
      <c r="D500" s="27" t="n">
        <v>6.18</v>
      </c>
      <c r="E500" s="10" t="n">
        <v>820</v>
      </c>
      <c r="F500" s="12" t="n">
        <v>57.5</v>
      </c>
      <c r="G500" s="12" t="n">
        <v>20.2</v>
      </c>
      <c r="H500" s="10" t="n">
        <v>3</v>
      </c>
      <c r="I500" s="10" t="n">
        <v>357</v>
      </c>
      <c r="J500" s="7" t="inlineStr">
        <is>
          <t>TX</t>
        </is>
      </c>
      <c r="K500" s="7" t="inlineStr">
        <is>
          <t>SFR</t>
        </is>
      </c>
      <c r="L500" s="7" t="inlineStr">
        <is>
          <t>Highline Capital</t>
        </is>
      </c>
      <c r="M500" s="7" t="inlineStr">
        <is>
          <t>Summit Loan Servicing</t>
        </is>
      </c>
    </row>
    <row r="501">
      <c r="A501" s="5" t="inlineStr">
        <is>
          <t>L100496</t>
        </is>
      </c>
      <c r="B501" s="16" t="n">
        <v>127900.5</v>
      </c>
      <c r="C501" s="16" t="n">
        <v>125911.82</v>
      </c>
      <c r="D501" s="26" t="n">
        <v>7.286</v>
      </c>
      <c r="E501" s="6" t="n">
        <v>708</v>
      </c>
      <c r="F501" s="11" t="n">
        <v>68.3</v>
      </c>
      <c r="G501" s="11" t="n">
        <v>35.7</v>
      </c>
      <c r="H501" s="6" t="n">
        <v>19</v>
      </c>
      <c r="I501" s="6" t="n">
        <v>341</v>
      </c>
      <c r="J501" s="5" t="inlineStr">
        <is>
          <t>OH</t>
        </is>
      </c>
      <c r="K501" s="5" t="inlineStr">
        <is>
          <t>Condo</t>
        </is>
      </c>
      <c r="L501" s="5" t="inlineStr">
        <is>
          <t>Coastal Mortgage Co</t>
        </is>
      </c>
      <c r="M501" s="5" t="inlineStr">
        <is>
          <t>Pier Asset Mgmt</t>
        </is>
      </c>
    </row>
    <row r="502">
      <c r="A502" s="7" t="inlineStr">
        <is>
          <t>L100497</t>
        </is>
      </c>
      <c r="B502" s="8" t="n">
        <v>215892.83</v>
      </c>
      <c r="C502" s="8" t="n">
        <v>209890.47</v>
      </c>
      <c r="D502" s="27" t="n">
        <v>8.208</v>
      </c>
      <c r="E502" s="10" t="n">
        <v>594</v>
      </c>
      <c r="F502" s="12" t="n">
        <v>48.2</v>
      </c>
      <c r="G502" s="12" t="n">
        <v>42.9</v>
      </c>
      <c r="H502" s="10" t="n">
        <v>38</v>
      </c>
      <c r="I502" s="10" t="n">
        <v>322</v>
      </c>
      <c r="J502" s="7" t="inlineStr">
        <is>
          <t>FL</t>
        </is>
      </c>
      <c r="K502" s="7" t="inlineStr">
        <is>
          <t>SFR</t>
        </is>
      </c>
      <c r="L502" s="7" t="inlineStr">
        <is>
          <t>Apex Funding</t>
        </is>
      </c>
      <c r="M502" s="7" t="inlineStr">
        <is>
          <t>Summit Loan Servicing</t>
        </is>
      </c>
    </row>
    <row r="503">
      <c r="A503" s="5" t="inlineStr">
        <is>
          <t>L100498</t>
        </is>
      </c>
      <c r="B503" s="16" t="n">
        <v>120960.07</v>
      </c>
      <c r="C503" s="16" t="n">
        <v>117069.84</v>
      </c>
      <c r="D503" s="26" t="n">
        <v>7.739</v>
      </c>
      <c r="E503" s="6" t="n">
        <v>685</v>
      </c>
      <c r="F503" s="11" t="n">
        <v>76.90000000000001</v>
      </c>
      <c r="G503" s="11" t="n">
        <v>39.6</v>
      </c>
      <c r="H503" s="6" t="n">
        <v>40</v>
      </c>
      <c r="I503" s="6" t="n">
        <v>320</v>
      </c>
      <c r="J503" s="5" t="inlineStr">
        <is>
          <t>WA</t>
        </is>
      </c>
      <c r="K503" s="5" t="inlineStr">
        <is>
          <t>SFR</t>
        </is>
      </c>
      <c r="L503" s="5" t="inlineStr">
        <is>
          <t>Highline Capital</t>
        </is>
      </c>
      <c r="M503" s="5" t="inlineStr">
        <is>
          <t>Summit Loan Servicing</t>
        </is>
      </c>
    </row>
    <row r="504">
      <c r="A504" s="7" t="inlineStr">
        <is>
          <t>L100499</t>
        </is>
      </c>
      <c r="B504" s="8" t="n">
        <v>143879.11</v>
      </c>
      <c r="C504" s="8" t="n">
        <v>128645.58</v>
      </c>
      <c r="D504" s="27" t="n">
        <v>7.125</v>
      </c>
      <c r="E504" s="10" t="n">
        <v>783</v>
      </c>
      <c r="F504" s="12" t="n">
        <v>68</v>
      </c>
      <c r="G504" s="12" t="n">
        <v>53.8</v>
      </c>
      <c r="H504" s="10" t="n">
        <v>31</v>
      </c>
      <c r="I504" s="10" t="n">
        <v>149</v>
      </c>
      <c r="J504" s="7" t="inlineStr">
        <is>
          <t>TX</t>
        </is>
      </c>
      <c r="K504" s="7" t="inlineStr">
        <is>
          <t>Condo</t>
        </is>
      </c>
      <c r="L504" s="7" t="inlineStr">
        <is>
          <t>Meridian Home Loans</t>
        </is>
      </c>
      <c r="M504" s="7" t="inlineStr">
        <is>
          <t>Northgate Servicing</t>
        </is>
      </c>
    </row>
    <row r="505">
      <c r="A505" s="5" t="inlineStr">
        <is>
          <t>L100500</t>
        </is>
      </c>
      <c r="B505" s="16" t="n">
        <v>391347.73</v>
      </c>
      <c r="C505" s="16" t="n">
        <v>375844.16</v>
      </c>
      <c r="D505" s="26" t="n">
        <v>6.432</v>
      </c>
      <c r="E505" s="6" t="n">
        <v>745</v>
      </c>
      <c r="F505" s="11" t="n">
        <v>56.1</v>
      </c>
      <c r="G505" s="11" t="n">
        <v>46</v>
      </c>
      <c r="H505" s="6" t="n">
        <v>39</v>
      </c>
      <c r="I505" s="6" t="n">
        <v>321</v>
      </c>
      <c r="J505" s="5" t="inlineStr">
        <is>
          <t>OH</t>
        </is>
      </c>
      <c r="K505" s="5" t="inlineStr">
        <is>
          <t>Condo</t>
        </is>
      </c>
      <c r="L505" s="5" t="inlineStr">
        <is>
          <t>Meridian Home Loans</t>
        </is>
      </c>
      <c r="M505" s="5" t="inlineStr">
        <is>
          <t>Northgate Servicing</t>
        </is>
      </c>
    </row>
    <row r="506">
      <c r="A506" s="7" t="inlineStr">
        <is>
          <t>L100501</t>
        </is>
      </c>
      <c r="B506" s="8" t="n">
        <v>332140.96</v>
      </c>
      <c r="C506" s="8" t="n">
        <v>328175.64</v>
      </c>
      <c r="D506" s="27" t="n">
        <v>6.589</v>
      </c>
      <c r="E506" s="10" t="n">
        <v>729</v>
      </c>
      <c r="F506" s="12" t="n">
        <v>87</v>
      </c>
      <c r="G506" s="12" t="n">
        <v>47.6</v>
      </c>
      <c r="H506" s="10" t="n">
        <v>13</v>
      </c>
      <c r="I506" s="10" t="n">
        <v>347</v>
      </c>
      <c r="J506" s="7" t="inlineStr">
        <is>
          <t>NY</t>
        </is>
      </c>
      <c r="K506" s="7" t="inlineStr">
        <is>
          <t>SFR</t>
        </is>
      </c>
      <c r="L506" s="7" t="inlineStr">
        <is>
          <t>Highline Capital</t>
        </is>
      </c>
      <c r="M506" s="7" t="inlineStr">
        <is>
          <t>Pier Asset Mgmt</t>
        </is>
      </c>
    </row>
    <row r="507">
      <c r="A507" s="5" t="inlineStr">
        <is>
          <t>L100502</t>
        </is>
      </c>
      <c r="B507" s="16" t="n">
        <v>188750.61</v>
      </c>
      <c r="C507" s="16" t="n">
        <v>179562.14</v>
      </c>
      <c r="D507" s="26" t="n">
        <v>5.722</v>
      </c>
      <c r="E507" s="6" t="n">
        <v>770</v>
      </c>
      <c r="F507" s="11" t="n">
        <v>58.3</v>
      </c>
      <c r="G507" s="11" t="n">
        <v>55</v>
      </c>
      <c r="H507" s="6" t="n">
        <v>42</v>
      </c>
      <c r="I507" s="6" t="n">
        <v>318</v>
      </c>
      <c r="J507" s="5" t="inlineStr">
        <is>
          <t>NC</t>
        </is>
      </c>
      <c r="K507" s="5" t="inlineStr">
        <is>
          <t>Condo</t>
        </is>
      </c>
      <c r="L507" s="5" t="inlineStr">
        <is>
          <t>Coastal Mortgage Co</t>
        </is>
      </c>
      <c r="M507" s="5" t="inlineStr">
        <is>
          <t>Summit Loan Servicing</t>
        </is>
      </c>
    </row>
    <row r="508">
      <c r="A508" s="7" t="inlineStr">
        <is>
          <t>L100503</t>
        </is>
      </c>
      <c r="B508" s="8" t="n">
        <v>143504.8</v>
      </c>
      <c r="C508" s="8" t="n">
        <v>138098.38</v>
      </c>
      <c r="D508" s="27" t="n">
        <v>5.097</v>
      </c>
      <c r="E508" s="10" t="n">
        <v>742</v>
      </c>
      <c r="F508" s="12" t="n">
        <v>83.59999999999999</v>
      </c>
      <c r="G508" s="12" t="n">
        <v>42.1</v>
      </c>
      <c r="H508" s="10" t="n">
        <v>30</v>
      </c>
      <c r="I508" s="10" t="n">
        <v>330</v>
      </c>
      <c r="J508" s="7" t="inlineStr">
        <is>
          <t>OH</t>
        </is>
      </c>
      <c r="K508" s="7" t="inlineStr">
        <is>
          <t>SFR</t>
        </is>
      </c>
      <c r="L508" s="7" t="inlineStr">
        <is>
          <t>Highline Capital</t>
        </is>
      </c>
      <c r="M508" s="7" t="inlineStr">
        <is>
          <t>Summit Loan Servicing</t>
        </is>
      </c>
    </row>
    <row r="509">
      <c r="A509" s="5" t="inlineStr">
        <is>
          <t>L100504</t>
        </is>
      </c>
      <c r="B509" s="16" t="n">
        <v>86026.86</v>
      </c>
      <c r="C509" s="16" t="n">
        <v>85344.34</v>
      </c>
      <c r="D509" s="26" t="n">
        <v>5.386</v>
      </c>
      <c r="E509" s="6" t="n">
        <v>782</v>
      </c>
      <c r="F509" s="11" t="n">
        <v>65.59999999999999</v>
      </c>
      <c r="G509" s="11" t="n">
        <v>37.3</v>
      </c>
      <c r="H509" s="6" t="n">
        <v>7</v>
      </c>
      <c r="I509" s="6" t="n">
        <v>353</v>
      </c>
      <c r="J509" s="5" t="inlineStr">
        <is>
          <t>TX</t>
        </is>
      </c>
      <c r="K509" s="5" t="inlineStr">
        <is>
          <t>SFR</t>
        </is>
      </c>
      <c r="L509" s="5" t="inlineStr">
        <is>
          <t>Coastal Mortgage Co</t>
        </is>
      </c>
      <c r="M509" s="5" t="inlineStr">
        <is>
          <t>Summit Loan Servicing</t>
        </is>
      </c>
    </row>
    <row r="510">
      <c r="A510" s="7" t="inlineStr">
        <is>
          <t>L100505</t>
        </is>
      </c>
      <c r="B510" s="8" t="n">
        <v>200742.16</v>
      </c>
      <c r="C510" s="8" t="n">
        <v>199437.33</v>
      </c>
      <c r="D510" s="27" t="n">
        <v>6.445</v>
      </c>
      <c r="E510" s="10" t="n">
        <v>766</v>
      </c>
      <c r="F510" s="12" t="n">
        <v>93.2</v>
      </c>
      <c r="G510" s="12" t="n">
        <v>43.8</v>
      </c>
      <c r="H510" s="10" t="n">
        <v>7</v>
      </c>
      <c r="I510" s="10" t="n">
        <v>353</v>
      </c>
      <c r="J510" s="7" t="inlineStr">
        <is>
          <t>NY</t>
        </is>
      </c>
      <c r="K510" s="7" t="inlineStr">
        <is>
          <t>Condo</t>
        </is>
      </c>
      <c r="L510" s="7" t="inlineStr">
        <is>
          <t>Apex Funding</t>
        </is>
      </c>
      <c r="M510" s="7" t="inlineStr">
        <is>
          <t>Northgate Servicing</t>
        </is>
      </c>
    </row>
    <row r="511">
      <c r="A511" s="5" t="inlineStr">
        <is>
          <t>L100506</t>
        </is>
      </c>
      <c r="B511" s="16" t="n">
        <v>566450.66</v>
      </c>
      <c r="C511" s="16" t="n">
        <v>559086.64</v>
      </c>
      <c r="D511" s="26" t="n">
        <v>6.137</v>
      </c>
      <c r="E511" s="6" t="n">
        <v>799</v>
      </c>
      <c r="F511" s="11" t="n">
        <v>83</v>
      </c>
      <c r="G511" s="11" t="n">
        <v>31.5</v>
      </c>
      <c r="H511" s="6" t="n">
        <v>13</v>
      </c>
      <c r="I511" s="6" t="n">
        <v>347</v>
      </c>
      <c r="J511" s="5" t="inlineStr">
        <is>
          <t>WA</t>
        </is>
      </c>
      <c r="K511" s="5" t="inlineStr">
        <is>
          <t>SFR</t>
        </is>
      </c>
      <c r="L511" s="5" t="inlineStr">
        <is>
          <t>Apex Funding</t>
        </is>
      </c>
      <c r="M511" s="5" t="inlineStr">
        <is>
          <t>Northgate Servicing</t>
        </is>
      </c>
    </row>
    <row r="512">
      <c r="A512" s="7" t="inlineStr">
        <is>
          <t>L100507</t>
        </is>
      </c>
      <c r="B512" s="8" t="n">
        <v>282719.21</v>
      </c>
      <c r="C512" s="8" t="n">
        <v>281371.36</v>
      </c>
      <c r="D512" s="27" t="n">
        <v>5.078</v>
      </c>
      <c r="E512" s="10" t="n">
        <v>735</v>
      </c>
      <c r="F512" s="12" t="n">
        <v>61.9</v>
      </c>
      <c r="G512" s="12" t="n">
        <v>36.9</v>
      </c>
      <c r="H512" s="10" t="n">
        <v>4</v>
      </c>
      <c r="I512" s="10" t="n">
        <v>356</v>
      </c>
      <c r="J512" s="7" t="inlineStr">
        <is>
          <t>TX</t>
        </is>
      </c>
      <c r="K512" s="7" t="inlineStr">
        <is>
          <t>SFR</t>
        </is>
      </c>
      <c r="L512" s="7" t="inlineStr">
        <is>
          <t>Highline Capital</t>
        </is>
      </c>
      <c r="M512" s="7" t="inlineStr">
        <is>
          <t>Summit Loan Servicing</t>
        </is>
      </c>
    </row>
    <row r="513">
      <c r="A513" s="5" t="inlineStr">
        <is>
          <t>L100508</t>
        </is>
      </c>
      <c r="B513" s="16" t="n">
        <v>199615.78</v>
      </c>
      <c r="C513" s="16" t="n">
        <v>196931.56</v>
      </c>
      <c r="D513" s="26" t="n">
        <v>6.366</v>
      </c>
      <c r="E513" s="6" t="n">
        <v>765</v>
      </c>
      <c r="F513" s="11" t="n">
        <v>63</v>
      </c>
      <c r="G513" s="11" t="n">
        <v>30.8</v>
      </c>
      <c r="H513" s="6" t="n">
        <v>14</v>
      </c>
      <c r="I513" s="6" t="n">
        <v>346</v>
      </c>
      <c r="J513" s="5" t="inlineStr">
        <is>
          <t>TX</t>
        </is>
      </c>
      <c r="K513" s="5" t="inlineStr">
        <is>
          <t>Condo</t>
        </is>
      </c>
      <c r="L513" s="5" t="inlineStr">
        <is>
          <t>Apex Funding</t>
        </is>
      </c>
      <c r="M513" s="5" t="inlineStr">
        <is>
          <t>Pier Asset Mgmt</t>
        </is>
      </c>
    </row>
    <row r="514">
      <c r="A514" s="7" t="inlineStr">
        <is>
          <t>L100509</t>
        </is>
      </c>
      <c r="B514" s="8" t="n">
        <v>285723</v>
      </c>
      <c r="C514" s="8" t="n">
        <v>270983.96</v>
      </c>
      <c r="D514" s="27" t="n">
        <v>6.113</v>
      </c>
      <c r="E514" s="10" t="n">
        <v>698</v>
      </c>
      <c r="F514" s="12" t="n">
        <v>81.3</v>
      </c>
      <c r="G514" s="12" t="n">
        <v>39.2</v>
      </c>
      <c r="H514" s="10" t="n">
        <v>47</v>
      </c>
      <c r="I514" s="10" t="n">
        <v>313</v>
      </c>
      <c r="J514" s="7" t="inlineStr">
        <is>
          <t>GA</t>
        </is>
      </c>
      <c r="K514" s="7" t="inlineStr">
        <is>
          <t>SFR</t>
        </is>
      </c>
      <c r="L514" s="7" t="inlineStr">
        <is>
          <t>Apex Funding</t>
        </is>
      </c>
      <c r="M514" s="7" t="inlineStr">
        <is>
          <t>Northgate Servicing</t>
        </is>
      </c>
    </row>
    <row r="515">
      <c r="A515" s="5" t="inlineStr">
        <is>
          <t>L100510</t>
        </is>
      </c>
      <c r="B515" s="16" t="n">
        <v>140598.64</v>
      </c>
      <c r="C515" s="16" t="n">
        <v>138649.79</v>
      </c>
      <c r="D515" s="26" t="n">
        <v>5.344</v>
      </c>
      <c r="E515" s="6" t="n">
        <v>682</v>
      </c>
      <c r="F515" s="11" t="n">
        <v>70.90000000000001</v>
      </c>
      <c r="G515" s="11" t="n">
        <v>30.8</v>
      </c>
      <c r="H515" s="6" t="n">
        <v>12</v>
      </c>
      <c r="I515" s="6" t="n">
        <v>348</v>
      </c>
      <c r="J515" s="5" t="inlineStr">
        <is>
          <t>CA</t>
        </is>
      </c>
      <c r="K515" s="5" t="inlineStr">
        <is>
          <t>Multifamily</t>
        </is>
      </c>
      <c r="L515" s="5" t="inlineStr">
        <is>
          <t>Coastal Mortgage Co</t>
        </is>
      </c>
      <c r="M515" s="5" t="inlineStr">
        <is>
          <t>Pier Asset Mgmt</t>
        </is>
      </c>
    </row>
    <row r="516">
      <c r="A516" s="7" t="inlineStr">
        <is>
          <t>L100511</t>
        </is>
      </c>
      <c r="B516" s="8" t="n">
        <v>218805.14</v>
      </c>
      <c r="C516" s="8" t="n">
        <v>211857.74</v>
      </c>
      <c r="D516" s="27" t="n">
        <v>6.067</v>
      </c>
      <c r="E516" s="10" t="n">
        <v>809</v>
      </c>
      <c r="F516" s="12" t="n">
        <v>72</v>
      </c>
      <c r="G516" s="12" t="n">
        <v>30.5</v>
      </c>
      <c r="H516" s="10" t="n">
        <v>30</v>
      </c>
      <c r="I516" s="10" t="n">
        <v>330</v>
      </c>
      <c r="J516" s="7" t="inlineStr">
        <is>
          <t>WA</t>
        </is>
      </c>
      <c r="K516" s="7" t="inlineStr">
        <is>
          <t>2-4 Unit</t>
        </is>
      </c>
      <c r="L516" s="7" t="inlineStr">
        <is>
          <t>Coastal Mortgage Co</t>
        </is>
      </c>
      <c r="M516" s="7" t="inlineStr">
        <is>
          <t>Pier Asset Mgmt</t>
        </is>
      </c>
    </row>
    <row r="517">
      <c r="A517" s="5" t="inlineStr">
        <is>
          <t>L100512</t>
        </is>
      </c>
      <c r="B517" s="16" t="n">
        <v>251404.16</v>
      </c>
      <c r="C517" s="16" t="n">
        <v>238740.49</v>
      </c>
      <c r="D517" s="26" t="n">
        <v>6.111</v>
      </c>
      <c r="E517" s="6" t="n">
        <v>727</v>
      </c>
      <c r="F517" s="11" t="n">
        <v>89.3</v>
      </c>
      <c r="G517" s="11" t="n">
        <v>39.3</v>
      </c>
      <c r="H517" s="6" t="n">
        <v>46</v>
      </c>
      <c r="I517" s="6" t="n">
        <v>314</v>
      </c>
      <c r="J517" s="5" t="inlineStr">
        <is>
          <t>WA</t>
        </is>
      </c>
      <c r="K517" s="5" t="inlineStr">
        <is>
          <t>SFR</t>
        </is>
      </c>
      <c r="L517" s="5" t="inlineStr">
        <is>
          <t>Coastal Mortgage Co</t>
        </is>
      </c>
      <c r="M517" s="5" t="inlineStr">
        <is>
          <t>Northgate Servicing</t>
        </is>
      </c>
    </row>
    <row r="518">
      <c r="A518" s="7" t="inlineStr">
        <is>
          <t>L100513</t>
        </is>
      </c>
      <c r="B518" s="8" t="n">
        <v>235593.88</v>
      </c>
      <c r="C518" s="8" t="n">
        <v>232616.06</v>
      </c>
      <c r="D518" s="27" t="n">
        <v>5.845</v>
      </c>
      <c r="E518" s="10" t="n">
        <v>759</v>
      </c>
      <c r="F518" s="12" t="n">
        <v>65</v>
      </c>
      <c r="G518" s="12" t="n">
        <v>34.9</v>
      </c>
      <c r="H518" s="10" t="n">
        <v>12</v>
      </c>
      <c r="I518" s="10" t="n">
        <v>348</v>
      </c>
      <c r="J518" s="7" t="inlineStr">
        <is>
          <t>TX</t>
        </is>
      </c>
      <c r="K518" s="7" t="inlineStr">
        <is>
          <t>SFR</t>
        </is>
      </c>
      <c r="L518" s="7" t="inlineStr">
        <is>
          <t>Coastal Mortgage Co</t>
        </is>
      </c>
      <c r="M518" s="7" t="inlineStr">
        <is>
          <t>Pier Asset Mgmt</t>
        </is>
      </c>
    </row>
    <row r="519">
      <c r="A519" s="5" t="inlineStr">
        <is>
          <t>L100514</t>
        </is>
      </c>
      <c r="B519" s="16" t="n">
        <v>320225.96</v>
      </c>
      <c r="C519" s="16" t="n">
        <v>311106.4</v>
      </c>
      <c r="D519" s="26" t="n">
        <v>7.234</v>
      </c>
      <c r="E519" s="6" t="n">
        <v>722</v>
      </c>
      <c r="F519" s="11" t="n">
        <v>75.09999999999999</v>
      </c>
      <c r="G519" s="11" t="n">
        <v>20.6</v>
      </c>
      <c r="H519" s="6" t="n">
        <v>33</v>
      </c>
      <c r="I519" s="6" t="n">
        <v>327</v>
      </c>
      <c r="J519" s="5" t="inlineStr">
        <is>
          <t>TX</t>
        </is>
      </c>
      <c r="K519" s="5" t="inlineStr">
        <is>
          <t>Multifamily</t>
        </is>
      </c>
      <c r="L519" s="5" t="inlineStr">
        <is>
          <t>Highline Capital</t>
        </is>
      </c>
      <c r="M519" s="5" t="inlineStr">
        <is>
          <t>Pier Asset Mgmt</t>
        </is>
      </c>
    </row>
    <row r="520">
      <c r="A520" s="7" t="inlineStr">
        <is>
          <t>L100515</t>
        </is>
      </c>
      <c r="B520" s="8" t="n">
        <v>273929.44</v>
      </c>
      <c r="C520" s="8" t="n">
        <v>265936.47</v>
      </c>
      <c r="D520" s="27" t="n">
        <v>4.687</v>
      </c>
      <c r="E520" s="10" t="n">
        <v>683</v>
      </c>
      <c r="F520" s="12" t="n">
        <v>85.5</v>
      </c>
      <c r="G520" s="12" t="n">
        <v>24.4</v>
      </c>
      <c r="H520" s="10" t="n">
        <v>22</v>
      </c>
      <c r="I520" s="10" t="n">
        <v>338</v>
      </c>
      <c r="J520" s="7" t="inlineStr">
        <is>
          <t>AZ</t>
        </is>
      </c>
      <c r="K520" s="7" t="inlineStr">
        <is>
          <t>2-4 Unit</t>
        </is>
      </c>
      <c r="L520" s="7" t="inlineStr">
        <is>
          <t>Meridian Home Loans</t>
        </is>
      </c>
      <c r="M520" s="7" t="inlineStr">
        <is>
          <t>Pier Asset Mgmt</t>
        </is>
      </c>
    </row>
    <row r="521">
      <c r="A521" s="5" t="inlineStr">
        <is>
          <t>L100516</t>
        </is>
      </c>
      <c r="B521" s="16" t="n">
        <v>306788.57</v>
      </c>
      <c r="C521" s="16" t="n">
        <v>301107.16</v>
      </c>
      <c r="D521" s="26" t="n">
        <v>4.613</v>
      </c>
      <c r="E521" s="6" t="n">
        <v>716</v>
      </c>
      <c r="F521" s="11" t="n">
        <v>83.7</v>
      </c>
      <c r="G521" s="11" t="n">
        <v>26.8</v>
      </c>
      <c r="H521" s="6" t="n">
        <v>14</v>
      </c>
      <c r="I521" s="6" t="n">
        <v>346</v>
      </c>
      <c r="J521" s="5" t="inlineStr">
        <is>
          <t>GA</t>
        </is>
      </c>
      <c r="K521" s="5" t="inlineStr">
        <is>
          <t>SFR</t>
        </is>
      </c>
      <c r="L521" s="5" t="inlineStr">
        <is>
          <t>Apex Funding</t>
        </is>
      </c>
      <c r="M521" s="5" t="inlineStr">
        <is>
          <t>Summit Loan Servicing</t>
        </is>
      </c>
    </row>
    <row r="522">
      <c r="A522" s="7" t="inlineStr">
        <is>
          <t>L100517</t>
        </is>
      </c>
      <c r="B522" s="8" t="n">
        <v>190816.92</v>
      </c>
      <c r="C522" s="8" t="n">
        <v>158672.03</v>
      </c>
      <c r="D522" s="27" t="n">
        <v>6.403</v>
      </c>
      <c r="E522" s="10" t="n">
        <v>794</v>
      </c>
      <c r="F522" s="12" t="n">
        <v>72.09999999999999</v>
      </c>
      <c r="G522" s="12" t="n">
        <v>28.9</v>
      </c>
      <c r="H522" s="10" t="n">
        <v>45</v>
      </c>
      <c r="I522" s="10" t="n">
        <v>135</v>
      </c>
      <c r="J522" s="7" t="inlineStr">
        <is>
          <t>OH</t>
        </is>
      </c>
      <c r="K522" s="7" t="inlineStr">
        <is>
          <t>SFR</t>
        </is>
      </c>
      <c r="L522" s="7" t="inlineStr">
        <is>
          <t>Apex Funding</t>
        </is>
      </c>
      <c r="M522" s="7" t="inlineStr">
        <is>
          <t>Pier Asset Mgmt</t>
        </is>
      </c>
    </row>
    <row r="523">
      <c r="A523" s="5" t="inlineStr">
        <is>
          <t>L100518</t>
        </is>
      </c>
      <c r="B523" s="16" t="n">
        <v>332446.89</v>
      </c>
      <c r="C523" s="16" t="n">
        <v>322308.2</v>
      </c>
      <c r="D523" s="26" t="n">
        <v>6.487</v>
      </c>
      <c r="E523" s="6" t="n">
        <v>746</v>
      </c>
      <c r="F523" s="11" t="n">
        <v>70.5</v>
      </c>
      <c r="G523" s="11" t="n">
        <v>39.3</v>
      </c>
      <c r="H523" s="6" t="n">
        <v>31</v>
      </c>
      <c r="I523" s="6" t="n">
        <v>329</v>
      </c>
      <c r="J523" s="5" t="inlineStr">
        <is>
          <t>WA</t>
        </is>
      </c>
      <c r="K523" s="5" t="inlineStr">
        <is>
          <t>SFR</t>
        </is>
      </c>
      <c r="L523" s="5" t="inlineStr">
        <is>
          <t>Highline Capital</t>
        </is>
      </c>
      <c r="M523" s="5" t="inlineStr">
        <is>
          <t>Summit Loan Servicing</t>
        </is>
      </c>
    </row>
    <row r="524">
      <c r="A524" s="7" t="inlineStr">
        <is>
          <t>L100519</t>
        </is>
      </c>
      <c r="B524" s="8" t="n">
        <v>429393.03</v>
      </c>
      <c r="C524" s="8" t="n">
        <v>421198.21</v>
      </c>
      <c r="D524" s="27" t="n">
        <v>6.764</v>
      </c>
      <c r="E524" s="10" t="n">
        <v>621</v>
      </c>
      <c r="F524" s="12" t="n">
        <v>53.1</v>
      </c>
      <c r="G524" s="12" t="n">
        <v>37.8</v>
      </c>
      <c r="H524" s="10" t="n">
        <v>21</v>
      </c>
      <c r="I524" s="10" t="n">
        <v>339</v>
      </c>
      <c r="J524" s="7" t="inlineStr">
        <is>
          <t>IL</t>
        </is>
      </c>
      <c r="K524" s="7" t="inlineStr">
        <is>
          <t>2-4 Unit</t>
        </is>
      </c>
      <c r="L524" s="7" t="inlineStr">
        <is>
          <t>Apex Funding</t>
        </is>
      </c>
      <c r="M524" s="7" t="inlineStr">
        <is>
          <t>Summit Loan Servicing</t>
        </is>
      </c>
    </row>
    <row r="525">
      <c r="A525" s="5" t="inlineStr">
        <is>
          <t>L100520</t>
        </is>
      </c>
      <c r="B525" s="16" t="n">
        <v>172896.37</v>
      </c>
      <c r="C525" s="16" t="n">
        <v>165394.26</v>
      </c>
      <c r="D525" s="26" t="n">
        <v>5.915</v>
      </c>
      <c r="E525" s="6" t="n">
        <v>703</v>
      </c>
      <c r="F525" s="11" t="n">
        <v>61.3</v>
      </c>
      <c r="G525" s="11" t="n">
        <v>44.5</v>
      </c>
      <c r="H525" s="6" t="n">
        <v>39</v>
      </c>
      <c r="I525" s="6" t="n">
        <v>321</v>
      </c>
      <c r="J525" s="5" t="inlineStr">
        <is>
          <t>FL</t>
        </is>
      </c>
      <c r="K525" s="5" t="inlineStr">
        <is>
          <t>Multifamily</t>
        </is>
      </c>
      <c r="L525" s="5" t="inlineStr">
        <is>
          <t>Coastal Mortgage Co</t>
        </is>
      </c>
      <c r="M525" s="5" t="inlineStr">
        <is>
          <t>Northgate Servicing</t>
        </is>
      </c>
    </row>
    <row r="526">
      <c r="A526" s="7" t="inlineStr">
        <is>
          <t>L100521</t>
        </is>
      </c>
      <c r="B526" s="8" t="n">
        <v>177958.65</v>
      </c>
      <c r="C526" s="8" t="n">
        <v>168839.48</v>
      </c>
      <c r="D526" s="27" t="n">
        <v>5.574</v>
      </c>
      <c r="E526" s="10" t="n">
        <v>813</v>
      </c>
      <c r="F526" s="12" t="n">
        <v>77.8</v>
      </c>
      <c r="G526" s="12" t="n">
        <v>42</v>
      </c>
      <c r="H526" s="10" t="n">
        <v>43</v>
      </c>
      <c r="I526" s="10" t="n">
        <v>317</v>
      </c>
      <c r="J526" s="7" t="inlineStr">
        <is>
          <t>NC</t>
        </is>
      </c>
      <c r="K526" s="7" t="inlineStr">
        <is>
          <t>2-4 Unit</t>
        </is>
      </c>
      <c r="L526" s="7" t="inlineStr">
        <is>
          <t>Meridian Home Loans</t>
        </is>
      </c>
      <c r="M526" s="7" t="inlineStr">
        <is>
          <t>Northgate Servicing</t>
        </is>
      </c>
    </row>
    <row r="527">
      <c r="A527" s="5" t="inlineStr">
        <is>
          <t>L100522</t>
        </is>
      </c>
      <c r="B527" s="16" t="n">
        <v>387520.69</v>
      </c>
      <c r="C527" s="16" t="n">
        <v>372935.17</v>
      </c>
      <c r="D527" s="26" t="n">
        <v>6.393</v>
      </c>
      <c r="E527" s="6" t="n">
        <v>703</v>
      </c>
      <c r="F527" s="11" t="n">
        <v>72.3</v>
      </c>
      <c r="G527" s="11" t="n">
        <v>44.6</v>
      </c>
      <c r="H527" s="6" t="n">
        <v>37</v>
      </c>
      <c r="I527" s="6" t="n">
        <v>323</v>
      </c>
      <c r="J527" s="5" t="inlineStr">
        <is>
          <t>NC</t>
        </is>
      </c>
      <c r="K527" s="5" t="inlineStr">
        <is>
          <t>SFR</t>
        </is>
      </c>
      <c r="L527" s="5" t="inlineStr">
        <is>
          <t>Coastal Mortgage Co</t>
        </is>
      </c>
      <c r="M527" s="5" t="inlineStr">
        <is>
          <t>Northgate Servicing</t>
        </is>
      </c>
    </row>
    <row r="528">
      <c r="A528" s="7" t="inlineStr">
        <is>
          <t>L100523</t>
        </is>
      </c>
      <c r="B528" s="8" t="n">
        <v>227073.63</v>
      </c>
      <c r="C528" s="8" t="n">
        <v>216820.78</v>
      </c>
      <c r="D528" s="27" t="n">
        <v>6.003</v>
      </c>
      <c r="E528" s="10" t="n">
        <v>616</v>
      </c>
      <c r="F528" s="12" t="n">
        <v>74.90000000000001</v>
      </c>
      <c r="G528" s="12" t="n">
        <v>40.9</v>
      </c>
      <c r="H528" s="10" t="n">
        <v>41</v>
      </c>
      <c r="I528" s="10" t="n">
        <v>319</v>
      </c>
      <c r="J528" s="7" t="inlineStr">
        <is>
          <t>IL</t>
        </is>
      </c>
      <c r="K528" s="7" t="inlineStr">
        <is>
          <t>2-4 Unit</t>
        </is>
      </c>
      <c r="L528" s="7" t="inlineStr">
        <is>
          <t>Coastal Mortgage Co</t>
        </is>
      </c>
      <c r="M528" s="7" t="inlineStr">
        <is>
          <t>Summit Loan Servicing</t>
        </is>
      </c>
    </row>
    <row r="529">
      <c r="A529" s="5" t="inlineStr">
        <is>
          <t>L100524</t>
        </is>
      </c>
      <c r="B529" s="16" t="n">
        <v>396859.46</v>
      </c>
      <c r="C529" s="16" t="n">
        <v>392196.22</v>
      </c>
      <c r="D529" s="26" t="n">
        <v>7.796</v>
      </c>
      <c r="E529" s="6" t="n">
        <v>819</v>
      </c>
      <c r="F529" s="11" t="n">
        <v>86.5</v>
      </c>
      <c r="G529" s="11" t="n">
        <v>37.7</v>
      </c>
      <c r="H529" s="6" t="n">
        <v>16</v>
      </c>
      <c r="I529" s="6" t="n">
        <v>344</v>
      </c>
      <c r="J529" s="5" t="inlineStr">
        <is>
          <t>FL</t>
        </is>
      </c>
      <c r="K529" s="5" t="inlineStr">
        <is>
          <t>SFR</t>
        </is>
      </c>
      <c r="L529" s="5" t="inlineStr">
        <is>
          <t>Meridian Home Loans</t>
        </is>
      </c>
      <c r="M529" s="5" t="inlineStr">
        <is>
          <t>Summit Loan Servicing</t>
        </is>
      </c>
    </row>
    <row r="530">
      <c r="A530" s="7" t="inlineStr">
        <is>
          <t>L100525</t>
        </is>
      </c>
      <c r="B530" s="8" t="n">
        <v>207962.38</v>
      </c>
      <c r="C530" s="8" t="n">
        <v>204370.98</v>
      </c>
      <c r="D530" s="27" t="n">
        <v>6.108</v>
      </c>
      <c r="E530" s="10" t="n">
        <v>753</v>
      </c>
      <c r="F530" s="12" t="n">
        <v>59.8</v>
      </c>
      <c r="G530" s="12" t="n">
        <v>44.8</v>
      </c>
      <c r="H530" s="10" t="n">
        <v>17</v>
      </c>
      <c r="I530" s="10" t="n">
        <v>343</v>
      </c>
      <c r="J530" s="7" t="inlineStr">
        <is>
          <t>FL</t>
        </is>
      </c>
      <c r="K530" s="7" t="inlineStr">
        <is>
          <t>SFR</t>
        </is>
      </c>
      <c r="L530" s="7" t="inlineStr">
        <is>
          <t>Apex Funding</t>
        </is>
      </c>
      <c r="M530" s="7" t="inlineStr">
        <is>
          <t>Pier Asset Mgmt</t>
        </is>
      </c>
    </row>
    <row r="531">
      <c r="A531" s="5" t="inlineStr">
        <is>
          <t>L100526</t>
        </is>
      </c>
      <c r="B531" s="16" t="n">
        <v>404038.7</v>
      </c>
      <c r="C531" s="16" t="n">
        <v>399792.73</v>
      </c>
      <c r="D531" s="26" t="n">
        <v>6.352</v>
      </c>
      <c r="E531" s="6" t="n">
        <v>711</v>
      </c>
      <c r="F531" s="11" t="n">
        <v>71.2</v>
      </c>
      <c r="G531" s="11" t="n">
        <v>43.4</v>
      </c>
      <c r="H531" s="6" t="n">
        <v>11</v>
      </c>
      <c r="I531" s="6" t="n">
        <v>349</v>
      </c>
      <c r="J531" s="5" t="inlineStr">
        <is>
          <t>GA</t>
        </is>
      </c>
      <c r="K531" s="5" t="inlineStr">
        <is>
          <t>SFR</t>
        </is>
      </c>
      <c r="L531" s="5" t="inlineStr">
        <is>
          <t>Coastal Mortgage Co</t>
        </is>
      </c>
      <c r="M531" s="5" t="inlineStr">
        <is>
          <t>Summit Loan Servicing</t>
        </is>
      </c>
    </row>
    <row r="532">
      <c r="A532" s="7" t="inlineStr">
        <is>
          <t>L100527</t>
        </is>
      </c>
      <c r="B532" s="8" t="n">
        <v>254236.45</v>
      </c>
      <c r="C532" s="8" t="n">
        <v>248672.04</v>
      </c>
      <c r="D532" s="27" t="n">
        <v>8.628</v>
      </c>
      <c r="E532" s="10" t="n">
        <v>695</v>
      </c>
      <c r="F532" s="12" t="n">
        <v>76.3</v>
      </c>
      <c r="G532" s="12" t="n">
        <v>39</v>
      </c>
      <c r="H532" s="10" t="n">
        <v>33</v>
      </c>
      <c r="I532" s="10" t="n">
        <v>327</v>
      </c>
      <c r="J532" s="7" t="inlineStr">
        <is>
          <t>IL</t>
        </is>
      </c>
      <c r="K532" s="7" t="inlineStr">
        <is>
          <t>SFR</t>
        </is>
      </c>
      <c r="L532" s="7" t="inlineStr">
        <is>
          <t>Highline Capital</t>
        </is>
      </c>
      <c r="M532" s="7" t="inlineStr">
        <is>
          <t>Pier Asset Mgmt</t>
        </is>
      </c>
    </row>
    <row r="533">
      <c r="A533" s="5" t="inlineStr">
        <is>
          <t>L100528</t>
        </is>
      </c>
      <c r="B533" s="16" t="n">
        <v>265768.28</v>
      </c>
      <c r="C533" s="16" t="n">
        <v>228220.27</v>
      </c>
      <c r="D533" s="26" t="n">
        <v>6.225</v>
      </c>
      <c r="E533" s="6" t="n">
        <v>775</v>
      </c>
      <c r="F533" s="11" t="n">
        <v>65.59999999999999</v>
      </c>
      <c r="G533" s="11" t="n">
        <v>46.2</v>
      </c>
      <c r="H533" s="6" t="n">
        <v>38</v>
      </c>
      <c r="I533" s="6" t="n">
        <v>142</v>
      </c>
      <c r="J533" s="5" t="inlineStr">
        <is>
          <t>IL</t>
        </is>
      </c>
      <c r="K533" s="5" t="inlineStr">
        <is>
          <t>SFR</t>
        </is>
      </c>
      <c r="L533" s="5" t="inlineStr">
        <is>
          <t>Meridian Home Loans</t>
        </is>
      </c>
      <c r="M533" s="5" t="inlineStr">
        <is>
          <t>Summit Loan Servicing</t>
        </is>
      </c>
    </row>
    <row r="534">
      <c r="A534" s="7" t="inlineStr">
        <is>
          <t>L100529</t>
        </is>
      </c>
      <c r="B534" s="8" t="n">
        <v>419849.38</v>
      </c>
      <c r="C534" s="8" t="n">
        <v>373056.52</v>
      </c>
      <c r="D534" s="27" t="n">
        <v>6.901</v>
      </c>
      <c r="E534" s="10" t="n">
        <v>685</v>
      </c>
      <c r="F534" s="12" t="n">
        <v>91.2</v>
      </c>
      <c r="G534" s="12" t="n">
        <v>17.2</v>
      </c>
      <c r="H534" s="10" t="n">
        <v>32</v>
      </c>
      <c r="I534" s="10" t="n">
        <v>148</v>
      </c>
      <c r="J534" s="7" t="inlineStr">
        <is>
          <t>CA</t>
        </is>
      </c>
      <c r="K534" s="7" t="inlineStr">
        <is>
          <t>SFR</t>
        </is>
      </c>
      <c r="L534" s="7" t="inlineStr">
        <is>
          <t>Highline Capital</t>
        </is>
      </c>
      <c r="M534" s="7" t="inlineStr">
        <is>
          <t>Summit Loan Servicing</t>
        </is>
      </c>
    </row>
    <row r="535">
      <c r="A535" s="5" t="inlineStr">
        <is>
          <t>L100530</t>
        </is>
      </c>
      <c r="B535" s="16" t="n">
        <v>213924.91</v>
      </c>
      <c r="C535" s="16" t="n">
        <v>208383.28</v>
      </c>
      <c r="D535" s="26" t="n">
        <v>6.982</v>
      </c>
      <c r="E535" s="6" t="n">
        <v>778</v>
      </c>
      <c r="F535" s="11" t="n">
        <v>84.90000000000001</v>
      </c>
      <c r="G535" s="11" t="n">
        <v>33.7</v>
      </c>
      <c r="H535" s="6" t="n">
        <v>29</v>
      </c>
      <c r="I535" s="6" t="n">
        <v>331</v>
      </c>
      <c r="J535" s="5" t="inlineStr">
        <is>
          <t>OH</t>
        </is>
      </c>
      <c r="K535" s="5" t="inlineStr">
        <is>
          <t>SFR</t>
        </is>
      </c>
      <c r="L535" s="5" t="inlineStr">
        <is>
          <t>Coastal Mortgage Co</t>
        </is>
      </c>
      <c r="M535" s="5" t="inlineStr">
        <is>
          <t>Summit Loan Servicing</t>
        </is>
      </c>
    </row>
    <row r="536">
      <c r="A536" s="7" t="inlineStr">
        <is>
          <t>L100531</t>
        </is>
      </c>
      <c r="B536" s="8" t="n">
        <v>174661.88</v>
      </c>
      <c r="C536" s="8" t="n">
        <v>152072.91</v>
      </c>
      <c r="D536" s="27" t="n">
        <v>7.058</v>
      </c>
      <c r="E536" s="10" t="n">
        <v>745</v>
      </c>
      <c r="F536" s="12" t="n">
        <v>77.5</v>
      </c>
      <c r="G536" s="12" t="n">
        <v>33.6</v>
      </c>
      <c r="H536" s="10" t="n">
        <v>37</v>
      </c>
      <c r="I536" s="10" t="n">
        <v>143</v>
      </c>
      <c r="J536" s="7" t="inlineStr">
        <is>
          <t>AZ</t>
        </is>
      </c>
      <c r="K536" s="7" t="inlineStr">
        <is>
          <t>2-4 Unit</t>
        </is>
      </c>
      <c r="L536" s="7" t="inlineStr">
        <is>
          <t>Coastal Mortgage Co</t>
        </is>
      </c>
      <c r="M536" s="7" t="inlineStr">
        <is>
          <t>Summit Loan Servicing</t>
        </is>
      </c>
    </row>
    <row r="537">
      <c r="A537" s="5" t="inlineStr">
        <is>
          <t>L100532</t>
        </is>
      </c>
      <c r="B537" s="16" t="n">
        <v>207524.05</v>
      </c>
      <c r="C537" s="16" t="n">
        <v>205850.94</v>
      </c>
      <c r="D537" s="26" t="n">
        <v>6.661</v>
      </c>
      <c r="E537" s="6" t="n">
        <v>728</v>
      </c>
      <c r="F537" s="11" t="n">
        <v>95.5</v>
      </c>
      <c r="G537" s="11" t="n">
        <v>45.2</v>
      </c>
      <c r="H537" s="6" t="n">
        <v>9</v>
      </c>
      <c r="I537" s="6" t="n">
        <v>351</v>
      </c>
      <c r="J537" s="5" t="inlineStr">
        <is>
          <t>WA</t>
        </is>
      </c>
      <c r="K537" s="5" t="inlineStr">
        <is>
          <t>SFR</t>
        </is>
      </c>
      <c r="L537" s="5" t="inlineStr">
        <is>
          <t>Coastal Mortgage Co</t>
        </is>
      </c>
      <c r="M537" s="5" t="inlineStr">
        <is>
          <t>Pier Asset Mgmt</t>
        </is>
      </c>
    </row>
    <row r="538">
      <c r="A538" s="7" t="inlineStr">
        <is>
          <t>L100533</t>
        </is>
      </c>
      <c r="B538" s="8" t="n">
        <v>284451.17</v>
      </c>
      <c r="C538" s="8" t="n">
        <v>279669.88</v>
      </c>
      <c r="D538" s="27" t="n">
        <v>6.574</v>
      </c>
      <c r="E538" s="10" t="n">
        <v>723</v>
      </c>
      <c r="F538" s="12" t="n">
        <v>56</v>
      </c>
      <c r="G538" s="12" t="n">
        <v>48.6</v>
      </c>
      <c r="H538" s="10" t="n">
        <v>18</v>
      </c>
      <c r="I538" s="10" t="n">
        <v>342</v>
      </c>
      <c r="J538" s="7" t="inlineStr">
        <is>
          <t>OH</t>
        </is>
      </c>
      <c r="K538" s="7" t="inlineStr">
        <is>
          <t>SFR</t>
        </is>
      </c>
      <c r="L538" s="7" t="inlineStr">
        <is>
          <t>Highline Capital</t>
        </is>
      </c>
      <c r="M538" s="7" t="inlineStr">
        <is>
          <t>Northgate Servicing</t>
        </is>
      </c>
    </row>
    <row r="539">
      <c r="A539" s="5" t="inlineStr">
        <is>
          <t>L100534</t>
        </is>
      </c>
      <c r="B539" s="16" t="n">
        <v>140362.6</v>
      </c>
      <c r="C539" s="16" t="n">
        <v>123138.35</v>
      </c>
      <c r="D539" s="26" t="n">
        <v>6.49</v>
      </c>
      <c r="E539" s="6" t="n">
        <v>705</v>
      </c>
      <c r="F539" s="11" t="n">
        <v>73.90000000000001</v>
      </c>
      <c r="G539" s="11" t="n">
        <v>24.4</v>
      </c>
      <c r="H539" s="6" t="n">
        <v>34</v>
      </c>
      <c r="I539" s="6" t="n">
        <v>146</v>
      </c>
      <c r="J539" s="5" t="inlineStr">
        <is>
          <t>NC</t>
        </is>
      </c>
      <c r="K539" s="5" t="inlineStr">
        <is>
          <t>SFR</t>
        </is>
      </c>
      <c r="L539" s="5" t="inlineStr">
        <is>
          <t>Apex Funding</t>
        </is>
      </c>
      <c r="M539" s="5" t="inlineStr">
        <is>
          <t>Pier Asset Mgmt</t>
        </is>
      </c>
    </row>
    <row r="540">
      <c r="A540" s="7" t="inlineStr">
        <is>
          <t>L100535</t>
        </is>
      </c>
      <c r="B540" s="8" t="n">
        <v>303493.3</v>
      </c>
      <c r="C540" s="8" t="n">
        <v>302561.71</v>
      </c>
      <c r="D540" s="27" t="n">
        <v>5.882</v>
      </c>
      <c r="E540" s="10" t="n">
        <v>773</v>
      </c>
      <c r="F540" s="12" t="n">
        <v>78.40000000000001</v>
      </c>
      <c r="G540" s="12" t="n">
        <v>47.3</v>
      </c>
      <c r="H540" s="10" t="n">
        <v>3</v>
      </c>
      <c r="I540" s="10" t="n">
        <v>357</v>
      </c>
      <c r="J540" s="7" t="inlineStr">
        <is>
          <t>NY</t>
        </is>
      </c>
      <c r="K540" s="7" t="inlineStr">
        <is>
          <t>SFR</t>
        </is>
      </c>
      <c r="L540" s="7" t="inlineStr">
        <is>
          <t>Meridian Home Loans</t>
        </is>
      </c>
      <c r="M540" s="7" t="inlineStr">
        <is>
          <t>Pier Asset Mgmt</t>
        </is>
      </c>
    </row>
    <row r="541">
      <c r="A541" s="5" t="inlineStr">
        <is>
          <t>L100536</t>
        </is>
      </c>
      <c r="B541" s="16" t="n">
        <v>201074.35</v>
      </c>
      <c r="C541" s="16" t="n">
        <v>192593.83</v>
      </c>
      <c r="D541" s="26" t="n">
        <v>6.693</v>
      </c>
      <c r="E541" s="6" t="n">
        <v>667</v>
      </c>
      <c r="F541" s="11" t="n">
        <v>63</v>
      </c>
      <c r="G541" s="11" t="n">
        <v>26.6</v>
      </c>
      <c r="H541" s="6" t="n">
        <v>43</v>
      </c>
      <c r="I541" s="6" t="n">
        <v>317</v>
      </c>
      <c r="J541" s="5" t="inlineStr">
        <is>
          <t>NC</t>
        </is>
      </c>
      <c r="K541" s="5" t="inlineStr">
        <is>
          <t>SFR</t>
        </is>
      </c>
      <c r="L541" s="5" t="inlineStr">
        <is>
          <t>Highline Capital</t>
        </is>
      </c>
      <c r="M541" s="5" t="inlineStr">
        <is>
          <t>Summit Loan Servicing</t>
        </is>
      </c>
    </row>
    <row r="542">
      <c r="A542" s="7" t="inlineStr">
        <is>
          <t>L100537</t>
        </is>
      </c>
      <c r="B542" s="8" t="n">
        <v>362846.24</v>
      </c>
      <c r="C542" s="8" t="n">
        <v>360695.32</v>
      </c>
      <c r="D542" s="27" t="n">
        <v>8.226000000000001</v>
      </c>
      <c r="E542" s="10" t="n">
        <v>626</v>
      </c>
      <c r="F542" s="12" t="n">
        <v>77.59999999999999</v>
      </c>
      <c r="G542" s="12" t="n">
        <v>26.9</v>
      </c>
      <c r="H542" s="10" t="n">
        <v>9</v>
      </c>
      <c r="I542" s="10" t="n">
        <v>351</v>
      </c>
      <c r="J542" s="7" t="inlineStr">
        <is>
          <t>GA</t>
        </is>
      </c>
      <c r="K542" s="7" t="inlineStr">
        <is>
          <t>Condo</t>
        </is>
      </c>
      <c r="L542" s="7" t="inlineStr">
        <is>
          <t>Meridian Home Loans</t>
        </is>
      </c>
      <c r="M542" s="7" t="inlineStr">
        <is>
          <t>Summit Loan Servicing</t>
        </is>
      </c>
    </row>
    <row r="543">
      <c r="A543" s="5" t="inlineStr">
        <is>
          <t>L100538</t>
        </is>
      </c>
      <c r="B543" s="16" t="n">
        <v>105030.8</v>
      </c>
      <c r="C543" s="16" t="n">
        <v>101791.31</v>
      </c>
      <c r="D543" s="26" t="n">
        <v>7.49</v>
      </c>
      <c r="E543" s="6" t="n">
        <v>749</v>
      </c>
      <c r="F543" s="11" t="n">
        <v>60.7</v>
      </c>
      <c r="G543" s="11" t="n">
        <v>34.1</v>
      </c>
      <c r="H543" s="6" t="n">
        <v>37</v>
      </c>
      <c r="I543" s="6" t="n">
        <v>323</v>
      </c>
      <c r="J543" s="5" t="inlineStr">
        <is>
          <t>WA</t>
        </is>
      </c>
      <c r="K543" s="5" t="inlineStr">
        <is>
          <t>SFR</t>
        </is>
      </c>
      <c r="L543" s="5" t="inlineStr">
        <is>
          <t>Coastal Mortgage Co</t>
        </is>
      </c>
      <c r="M543" s="5" t="inlineStr">
        <is>
          <t>Pier Asset Mgmt</t>
        </is>
      </c>
    </row>
    <row r="544">
      <c r="A544" s="7" t="inlineStr">
        <is>
          <t>L100539</t>
        </is>
      </c>
      <c r="B544" s="8" t="n">
        <v>184370.39</v>
      </c>
      <c r="C544" s="8" t="n">
        <v>179315.3</v>
      </c>
      <c r="D544" s="27" t="n">
        <v>6.674</v>
      </c>
      <c r="E544" s="10" t="n">
        <v>750</v>
      </c>
      <c r="F544" s="12" t="n">
        <v>82.3</v>
      </c>
      <c r="G544" s="12" t="n">
        <v>33.5</v>
      </c>
      <c r="H544" s="10" t="n">
        <v>29</v>
      </c>
      <c r="I544" s="10" t="n">
        <v>331</v>
      </c>
      <c r="J544" s="7" t="inlineStr">
        <is>
          <t>FL</t>
        </is>
      </c>
      <c r="K544" s="7" t="inlineStr">
        <is>
          <t>SFR</t>
        </is>
      </c>
      <c r="L544" s="7" t="inlineStr">
        <is>
          <t>Apex Funding</t>
        </is>
      </c>
      <c r="M544" s="7" t="inlineStr">
        <is>
          <t>Northgate Servicing</t>
        </is>
      </c>
    </row>
    <row r="545">
      <c r="A545" s="5" t="inlineStr">
        <is>
          <t>L100540</t>
        </is>
      </c>
      <c r="B545" s="16" t="n">
        <v>134556.05</v>
      </c>
      <c r="C545" s="16" t="n">
        <v>129753.35</v>
      </c>
      <c r="D545" s="26" t="n">
        <v>7.17</v>
      </c>
      <c r="E545" s="6" t="n">
        <v>741</v>
      </c>
      <c r="F545" s="11" t="n">
        <v>86.7</v>
      </c>
      <c r="G545" s="11" t="n">
        <v>23.5</v>
      </c>
      <c r="H545" s="6" t="n">
        <v>40</v>
      </c>
      <c r="I545" s="6" t="n">
        <v>320</v>
      </c>
      <c r="J545" s="5" t="inlineStr">
        <is>
          <t>CA</t>
        </is>
      </c>
      <c r="K545" s="5" t="inlineStr">
        <is>
          <t>2-4 Unit</t>
        </is>
      </c>
      <c r="L545" s="5" t="inlineStr">
        <is>
          <t>Apex Funding</t>
        </is>
      </c>
      <c r="M545" s="5" t="inlineStr">
        <is>
          <t>Northgate Servicing</t>
        </is>
      </c>
    </row>
    <row r="546">
      <c r="A546" s="7" t="inlineStr">
        <is>
          <t>L100541</t>
        </is>
      </c>
      <c r="B546" s="8" t="n">
        <v>181828.59</v>
      </c>
      <c r="C546" s="8" t="n">
        <v>155804.26</v>
      </c>
      <c r="D546" s="27" t="n">
        <v>5.618</v>
      </c>
      <c r="E546" s="10" t="n">
        <v>737</v>
      </c>
      <c r="F546" s="12" t="n">
        <v>77.3</v>
      </c>
      <c r="G546" s="12" t="n">
        <v>41.2</v>
      </c>
      <c r="H546" s="10" t="n">
        <v>37</v>
      </c>
      <c r="I546" s="10" t="n">
        <v>143</v>
      </c>
      <c r="J546" s="7" t="inlineStr">
        <is>
          <t>TX</t>
        </is>
      </c>
      <c r="K546" s="7" t="inlineStr">
        <is>
          <t>SFR</t>
        </is>
      </c>
      <c r="L546" s="7" t="inlineStr">
        <is>
          <t>Coastal Mortgage Co</t>
        </is>
      </c>
      <c r="M546" s="7" t="inlineStr">
        <is>
          <t>Northgate Servicing</t>
        </is>
      </c>
    </row>
    <row r="547">
      <c r="A547" s="5" t="inlineStr">
        <is>
          <t>L100542</t>
        </is>
      </c>
      <c r="B547" s="16" t="n">
        <v>264787.54</v>
      </c>
      <c r="C547" s="16" t="n">
        <v>240905.75</v>
      </c>
      <c r="D547" s="26" t="n">
        <v>6.166</v>
      </c>
      <c r="E547" s="6" t="n">
        <v>697</v>
      </c>
      <c r="F547" s="11" t="n">
        <v>51.8</v>
      </c>
      <c r="G547" s="11" t="n">
        <v>41.4</v>
      </c>
      <c r="H547" s="6" t="n">
        <v>25</v>
      </c>
      <c r="I547" s="6" t="n">
        <v>155</v>
      </c>
      <c r="J547" s="5" t="inlineStr">
        <is>
          <t>TX</t>
        </is>
      </c>
      <c r="K547" s="5" t="inlineStr">
        <is>
          <t>Condo</t>
        </is>
      </c>
      <c r="L547" s="5" t="inlineStr">
        <is>
          <t>Highline Capital</t>
        </is>
      </c>
      <c r="M547" s="5" t="inlineStr">
        <is>
          <t>Pier Asset Mgmt</t>
        </is>
      </c>
    </row>
    <row r="548">
      <c r="A548" s="7" t="inlineStr">
        <is>
          <t>L100543</t>
        </is>
      </c>
      <c r="B548" s="8" t="n">
        <v>228038.71</v>
      </c>
      <c r="C548" s="8" t="n">
        <v>220912.66</v>
      </c>
      <c r="D548" s="27" t="n">
        <v>7.253</v>
      </c>
      <c r="E548" s="10" t="n">
        <v>758</v>
      </c>
      <c r="F548" s="12" t="n">
        <v>62.4</v>
      </c>
      <c r="G548" s="12" t="n">
        <v>44.4</v>
      </c>
      <c r="H548" s="10" t="n">
        <v>36</v>
      </c>
      <c r="I548" s="10" t="n">
        <v>324</v>
      </c>
      <c r="J548" s="7" t="inlineStr">
        <is>
          <t>NC</t>
        </is>
      </c>
      <c r="K548" s="7" t="inlineStr">
        <is>
          <t>SFR</t>
        </is>
      </c>
      <c r="L548" s="7" t="inlineStr">
        <is>
          <t>Highline Capital</t>
        </is>
      </c>
      <c r="M548" s="7" t="inlineStr">
        <is>
          <t>Northgate Servicing</t>
        </is>
      </c>
    </row>
    <row r="549">
      <c r="A549" s="5" t="inlineStr">
        <is>
          <t>L100544</t>
        </is>
      </c>
      <c r="B549" s="16" t="n">
        <v>222196.6</v>
      </c>
      <c r="C549" s="16" t="n">
        <v>219381.72</v>
      </c>
      <c r="D549" s="26" t="n">
        <v>7.738</v>
      </c>
      <c r="E549" s="6" t="n">
        <v>712</v>
      </c>
      <c r="F549" s="11" t="n">
        <v>80.8</v>
      </c>
      <c r="G549" s="11" t="n">
        <v>32.5</v>
      </c>
      <c r="H549" s="6" t="n">
        <v>17</v>
      </c>
      <c r="I549" s="6" t="n">
        <v>343</v>
      </c>
      <c r="J549" s="5" t="inlineStr">
        <is>
          <t>TX</t>
        </is>
      </c>
      <c r="K549" s="5" t="inlineStr">
        <is>
          <t>2-4 Unit</t>
        </is>
      </c>
      <c r="L549" s="5" t="inlineStr">
        <is>
          <t>Highline Capital</t>
        </is>
      </c>
      <c r="M549" s="5" t="inlineStr">
        <is>
          <t>Summit Loan Servicing</t>
        </is>
      </c>
    </row>
    <row r="550">
      <c r="A550" s="7" t="inlineStr">
        <is>
          <t>L100545</t>
        </is>
      </c>
      <c r="B550" s="8" t="n">
        <v>229643.94</v>
      </c>
      <c r="C550" s="8" t="n">
        <v>222421.35</v>
      </c>
      <c r="D550" s="27" t="n">
        <v>5.706</v>
      </c>
      <c r="E550" s="10" t="n">
        <v>688</v>
      </c>
      <c r="F550" s="12" t="n">
        <v>74.3</v>
      </c>
      <c r="G550" s="12" t="n">
        <v>35.7</v>
      </c>
      <c r="H550" s="10" t="n">
        <v>28</v>
      </c>
      <c r="I550" s="10" t="n">
        <v>332</v>
      </c>
      <c r="J550" s="7" t="inlineStr">
        <is>
          <t>TX</t>
        </is>
      </c>
      <c r="K550" s="7" t="inlineStr">
        <is>
          <t>SFR</t>
        </is>
      </c>
      <c r="L550" s="7" t="inlineStr">
        <is>
          <t>Coastal Mortgage Co</t>
        </is>
      </c>
      <c r="M550" s="7" t="inlineStr">
        <is>
          <t>Northgate Servicing</t>
        </is>
      </c>
    </row>
    <row r="551">
      <c r="A551" s="5" t="inlineStr">
        <is>
          <t>L100546</t>
        </is>
      </c>
      <c r="B551" s="16" t="n">
        <v>260715.72</v>
      </c>
      <c r="C551" s="16" t="n">
        <v>216614.3</v>
      </c>
      <c r="D551" s="26" t="n">
        <v>5.965</v>
      </c>
      <c r="E551" s="6" t="n">
        <v>698</v>
      </c>
      <c r="F551" s="11" t="n">
        <v>41.7</v>
      </c>
      <c r="G551" s="11" t="n">
        <v>35.8</v>
      </c>
      <c r="H551" s="6" t="n">
        <v>44</v>
      </c>
      <c r="I551" s="6" t="n">
        <v>136</v>
      </c>
      <c r="J551" s="5" t="inlineStr">
        <is>
          <t>NY</t>
        </is>
      </c>
      <c r="K551" s="5" t="inlineStr">
        <is>
          <t>SFR</t>
        </is>
      </c>
      <c r="L551" s="5" t="inlineStr">
        <is>
          <t>Highline Capital</t>
        </is>
      </c>
      <c r="M551" s="5" t="inlineStr">
        <is>
          <t>Summit Loan Servicing</t>
        </is>
      </c>
    </row>
    <row r="552">
      <c r="A552" s="7" t="inlineStr">
        <is>
          <t>L100547</t>
        </is>
      </c>
      <c r="B552" s="8" t="n">
        <v>170588.99</v>
      </c>
      <c r="C552" s="8" t="n">
        <v>170159.36</v>
      </c>
      <c r="D552" s="27" t="n">
        <v>8.363</v>
      </c>
      <c r="E552" s="10" t="n">
        <v>820</v>
      </c>
      <c r="F552" s="12" t="n">
        <v>88.90000000000001</v>
      </c>
      <c r="G552" s="12" t="n">
        <v>49.5</v>
      </c>
      <c r="H552" s="10" t="n">
        <v>4</v>
      </c>
      <c r="I552" s="10" t="n">
        <v>356</v>
      </c>
      <c r="J552" s="7" t="inlineStr">
        <is>
          <t>AZ</t>
        </is>
      </c>
      <c r="K552" s="7" t="inlineStr">
        <is>
          <t>SFR</t>
        </is>
      </c>
      <c r="L552" s="7" t="inlineStr">
        <is>
          <t>Meridian Home Loans</t>
        </is>
      </c>
      <c r="M552" s="7" t="inlineStr">
        <is>
          <t>Summit Loan Servicing</t>
        </is>
      </c>
    </row>
    <row r="553">
      <c r="A553" s="5" t="inlineStr">
        <is>
          <t>L100548</t>
        </is>
      </c>
      <c r="B553" s="16" t="n">
        <v>310953.1</v>
      </c>
      <c r="C553" s="16" t="n">
        <v>305949.32</v>
      </c>
      <c r="D553" s="26" t="n">
        <v>6.487</v>
      </c>
      <c r="E553" s="6" t="n">
        <v>620</v>
      </c>
      <c r="F553" s="11" t="n">
        <v>75.59999999999999</v>
      </c>
      <c r="G553" s="11" t="n">
        <v>13.3</v>
      </c>
      <c r="H553" s="6" t="n">
        <v>17</v>
      </c>
      <c r="I553" s="6" t="n">
        <v>343</v>
      </c>
      <c r="J553" s="5" t="inlineStr">
        <is>
          <t>IL</t>
        </is>
      </c>
      <c r="K553" s="5" t="inlineStr">
        <is>
          <t>SFR</t>
        </is>
      </c>
      <c r="L553" s="5" t="inlineStr">
        <is>
          <t>Highline Capital</t>
        </is>
      </c>
      <c r="M553" s="5" t="inlineStr">
        <is>
          <t>Summit Loan Servicing</t>
        </is>
      </c>
    </row>
    <row r="554">
      <c r="A554" s="7" t="inlineStr">
        <is>
          <t>L100549</t>
        </is>
      </c>
      <c r="B554" s="8" t="n">
        <v>306181.42</v>
      </c>
      <c r="C554" s="8" t="n">
        <v>305977.69</v>
      </c>
      <c r="D554" s="27" t="n">
        <v>8.041</v>
      </c>
      <c r="E554" s="10" t="n">
        <v>742</v>
      </c>
      <c r="F554" s="12" t="n">
        <v>64.2</v>
      </c>
      <c r="G554" s="12" t="n">
        <v>28.3</v>
      </c>
      <c r="H554" s="10" t="n">
        <v>1</v>
      </c>
      <c r="I554" s="10" t="n">
        <v>359</v>
      </c>
      <c r="J554" s="7" t="inlineStr">
        <is>
          <t>FL</t>
        </is>
      </c>
      <c r="K554" s="7" t="inlineStr">
        <is>
          <t>2-4 Unit</t>
        </is>
      </c>
      <c r="L554" s="7" t="inlineStr">
        <is>
          <t>Apex Funding</t>
        </is>
      </c>
      <c r="M554" s="7" t="inlineStr">
        <is>
          <t>Pier Asset Mgmt</t>
        </is>
      </c>
    </row>
    <row r="555">
      <c r="A555" s="5" t="inlineStr">
        <is>
          <t>L100550</t>
        </is>
      </c>
      <c r="B555" s="16" t="n">
        <v>277829.61</v>
      </c>
      <c r="C555" s="16" t="n">
        <v>270947.24</v>
      </c>
      <c r="D555" s="26" t="n">
        <v>6.586</v>
      </c>
      <c r="E555" s="6" t="n">
        <v>623</v>
      </c>
      <c r="F555" s="11" t="n">
        <v>85.90000000000001</v>
      </c>
      <c r="G555" s="11" t="n">
        <v>36</v>
      </c>
      <c r="H555" s="6" t="n">
        <v>26</v>
      </c>
      <c r="I555" s="6" t="n">
        <v>334</v>
      </c>
      <c r="J555" s="5" t="inlineStr">
        <is>
          <t>FL</t>
        </is>
      </c>
      <c r="K555" s="5" t="inlineStr">
        <is>
          <t>SFR</t>
        </is>
      </c>
      <c r="L555" s="5" t="inlineStr">
        <is>
          <t>Apex Funding</t>
        </is>
      </c>
      <c r="M555" s="5" t="inlineStr">
        <is>
          <t>Pier Asset Mgmt</t>
        </is>
      </c>
    </row>
    <row r="556">
      <c r="A556" s="7" t="inlineStr">
        <is>
          <t>L100551</t>
        </is>
      </c>
      <c r="B556" s="8" t="n">
        <v>295016.54</v>
      </c>
      <c r="C556" s="8" t="n">
        <v>255658.99</v>
      </c>
      <c r="D556" s="27" t="n">
        <v>6.622</v>
      </c>
      <c r="E556" s="10" t="n">
        <v>709</v>
      </c>
      <c r="F556" s="12" t="n">
        <v>65.90000000000001</v>
      </c>
      <c r="G556" s="12" t="n">
        <v>27.3</v>
      </c>
      <c r="H556" s="10" t="n">
        <v>37</v>
      </c>
      <c r="I556" s="10" t="n">
        <v>143</v>
      </c>
      <c r="J556" s="7" t="inlineStr">
        <is>
          <t>OH</t>
        </is>
      </c>
      <c r="K556" s="7" t="inlineStr">
        <is>
          <t>SFR</t>
        </is>
      </c>
      <c r="L556" s="7" t="inlineStr">
        <is>
          <t>Meridian Home Loans</t>
        </is>
      </c>
      <c r="M556" s="7" t="inlineStr">
        <is>
          <t>Summit Loan Servicing</t>
        </is>
      </c>
    </row>
    <row r="557">
      <c r="A557" s="5" t="inlineStr">
        <is>
          <t>L100552</t>
        </is>
      </c>
      <c r="B557" s="16" t="n">
        <v>269344.44</v>
      </c>
      <c r="C557" s="16" t="n">
        <v>268819.54</v>
      </c>
      <c r="D557" s="26" t="n">
        <v>6.125</v>
      </c>
      <c r="E557" s="6" t="n">
        <v>691</v>
      </c>
      <c r="F557" s="11" t="n">
        <v>65.7</v>
      </c>
      <c r="G557" s="11" t="n">
        <v>33.9</v>
      </c>
      <c r="H557" s="6" t="n">
        <v>2</v>
      </c>
      <c r="I557" s="6" t="n">
        <v>358</v>
      </c>
      <c r="J557" s="5" t="inlineStr">
        <is>
          <t>IL</t>
        </is>
      </c>
      <c r="K557" s="5" t="inlineStr">
        <is>
          <t>2-4 Unit</t>
        </is>
      </c>
      <c r="L557" s="5" t="inlineStr">
        <is>
          <t>Highline Capital</t>
        </is>
      </c>
      <c r="M557" s="5" t="inlineStr">
        <is>
          <t>Pier Asset Mgmt</t>
        </is>
      </c>
    </row>
    <row r="558">
      <c r="A558" s="7" t="inlineStr">
        <is>
          <t>L100553</t>
        </is>
      </c>
      <c r="B558" s="8" t="n">
        <v>494981.49</v>
      </c>
      <c r="C558" s="8" t="n">
        <v>484141.81</v>
      </c>
      <c r="D558" s="27" t="n">
        <v>7.248</v>
      </c>
      <c r="E558" s="10" t="n">
        <v>600</v>
      </c>
      <c r="F558" s="12" t="n">
        <v>78.3</v>
      </c>
      <c r="G558" s="12" t="n">
        <v>35</v>
      </c>
      <c r="H558" s="10" t="n">
        <v>26</v>
      </c>
      <c r="I558" s="10" t="n">
        <v>334</v>
      </c>
      <c r="J558" s="7" t="inlineStr">
        <is>
          <t>NY</t>
        </is>
      </c>
      <c r="K558" s="7" t="inlineStr">
        <is>
          <t>2-4 Unit</t>
        </is>
      </c>
      <c r="L558" s="7" t="inlineStr">
        <is>
          <t>Coastal Mortgage Co</t>
        </is>
      </c>
      <c r="M558" s="7" t="inlineStr">
        <is>
          <t>Pier Asset Mgmt</t>
        </is>
      </c>
    </row>
    <row r="559">
      <c r="A559" s="5" t="inlineStr">
        <is>
          <t>L100554</t>
        </is>
      </c>
      <c r="B559" s="16" t="n">
        <v>235511.97</v>
      </c>
      <c r="C559" s="16" t="n">
        <v>231886.89</v>
      </c>
      <c r="D559" s="26" t="n">
        <v>7.622</v>
      </c>
      <c r="E559" s="6" t="n">
        <v>736</v>
      </c>
      <c r="F559" s="11" t="n">
        <v>95.40000000000001</v>
      </c>
      <c r="G559" s="11" t="n">
        <v>30.7</v>
      </c>
      <c r="H559" s="6" t="n">
        <v>20</v>
      </c>
      <c r="I559" s="6" t="n">
        <v>340</v>
      </c>
      <c r="J559" s="5" t="inlineStr">
        <is>
          <t>AZ</t>
        </is>
      </c>
      <c r="K559" s="5" t="inlineStr">
        <is>
          <t>SFR</t>
        </is>
      </c>
      <c r="L559" s="5" t="inlineStr">
        <is>
          <t>Apex Funding</t>
        </is>
      </c>
      <c r="M559" s="5" t="inlineStr">
        <is>
          <t>Northgate Servicing</t>
        </is>
      </c>
    </row>
    <row r="560">
      <c r="A560" s="7" t="inlineStr">
        <is>
          <t>L100555</t>
        </is>
      </c>
      <c r="B560" s="8" t="n">
        <v>218058.98</v>
      </c>
      <c r="C560" s="8" t="n">
        <v>208405.62</v>
      </c>
      <c r="D560" s="27" t="n">
        <v>5.468</v>
      </c>
      <c r="E560" s="10" t="n">
        <v>694</v>
      </c>
      <c r="F560" s="12" t="n">
        <v>93.5</v>
      </c>
      <c r="G560" s="12" t="n">
        <v>36.5</v>
      </c>
      <c r="H560" s="10" t="n">
        <v>37</v>
      </c>
      <c r="I560" s="10" t="n">
        <v>323</v>
      </c>
      <c r="J560" s="7" t="inlineStr">
        <is>
          <t>NY</t>
        </is>
      </c>
      <c r="K560" s="7" t="inlineStr">
        <is>
          <t>SFR</t>
        </is>
      </c>
      <c r="L560" s="7" t="inlineStr">
        <is>
          <t>Meridian Home Loans</t>
        </is>
      </c>
      <c r="M560" s="7" t="inlineStr">
        <is>
          <t>Summit Loan Servicing</t>
        </is>
      </c>
    </row>
    <row r="561">
      <c r="A561" s="5" t="inlineStr">
        <is>
          <t>L100556</t>
        </is>
      </c>
      <c r="B561" s="16" t="n">
        <v>186514.7</v>
      </c>
      <c r="C561" s="16" t="n">
        <v>184452.74</v>
      </c>
      <c r="D561" s="26" t="n">
        <v>6.083</v>
      </c>
      <c r="E561" s="6" t="n">
        <v>600</v>
      </c>
      <c r="F561" s="11" t="n">
        <v>78.3</v>
      </c>
      <c r="G561" s="11" t="n">
        <v>41</v>
      </c>
      <c r="H561" s="6" t="n">
        <v>11</v>
      </c>
      <c r="I561" s="6" t="n">
        <v>349</v>
      </c>
      <c r="J561" s="5" t="inlineStr">
        <is>
          <t>NY</t>
        </is>
      </c>
      <c r="K561" s="5" t="inlineStr">
        <is>
          <t>Condo</t>
        </is>
      </c>
      <c r="L561" s="5" t="inlineStr">
        <is>
          <t>Highline Capital</t>
        </is>
      </c>
      <c r="M561" s="5" t="inlineStr">
        <is>
          <t>Northgate Servicing</t>
        </is>
      </c>
    </row>
    <row r="562">
      <c r="A562" s="7" t="inlineStr">
        <is>
          <t>L100557</t>
        </is>
      </c>
      <c r="B562" s="8" t="n">
        <v>169178.23</v>
      </c>
      <c r="C562" s="8" t="n">
        <v>168094.33</v>
      </c>
      <c r="D562" s="27" t="n">
        <v>7.224</v>
      </c>
      <c r="E562" s="10" t="n">
        <v>761</v>
      </c>
      <c r="F562" s="12" t="n">
        <v>79.5</v>
      </c>
      <c r="G562" s="12" t="n">
        <v>34.1</v>
      </c>
      <c r="H562" s="10" t="n">
        <v>8</v>
      </c>
      <c r="I562" s="10" t="n">
        <v>352</v>
      </c>
      <c r="J562" s="7" t="inlineStr">
        <is>
          <t>AZ</t>
        </is>
      </c>
      <c r="K562" s="7" t="inlineStr">
        <is>
          <t>Condo</t>
        </is>
      </c>
      <c r="L562" s="7" t="inlineStr">
        <is>
          <t>Coastal Mortgage Co</t>
        </is>
      </c>
      <c r="M562" s="7" t="inlineStr">
        <is>
          <t>Northgate Servicing</t>
        </is>
      </c>
    </row>
    <row r="563">
      <c r="A563" s="5" t="inlineStr">
        <is>
          <t>L100558</t>
        </is>
      </c>
      <c r="B563" s="16" t="n">
        <v>157068.12</v>
      </c>
      <c r="C563" s="16" t="n">
        <v>156319.89</v>
      </c>
      <c r="D563" s="26" t="n">
        <v>6.283</v>
      </c>
      <c r="E563" s="6" t="n">
        <v>794</v>
      </c>
      <c r="F563" s="11" t="n">
        <v>83.5</v>
      </c>
      <c r="G563" s="11" t="n">
        <v>32.4</v>
      </c>
      <c r="H563" s="6" t="n">
        <v>5</v>
      </c>
      <c r="I563" s="6" t="n">
        <v>355</v>
      </c>
      <c r="J563" s="5" t="inlineStr">
        <is>
          <t>NY</t>
        </is>
      </c>
      <c r="K563" s="5" t="inlineStr">
        <is>
          <t>2-4 Unit</t>
        </is>
      </c>
      <c r="L563" s="5" t="inlineStr">
        <is>
          <t>Highline Capital</t>
        </is>
      </c>
      <c r="M563" s="5" t="inlineStr">
        <is>
          <t>Northgate Servicing</t>
        </is>
      </c>
    </row>
    <row r="564">
      <c r="A564" s="7" t="inlineStr">
        <is>
          <t>L100559</t>
        </is>
      </c>
      <c r="B564" s="8" t="n">
        <v>177890.05</v>
      </c>
      <c r="C564" s="8" t="n">
        <v>174144.79</v>
      </c>
      <c r="D564" s="27" t="n">
        <v>5.956</v>
      </c>
      <c r="E564" s="10" t="n">
        <v>797</v>
      </c>
      <c r="F564" s="12" t="n">
        <v>58.9</v>
      </c>
      <c r="G564" s="12" t="n">
        <v>34.7</v>
      </c>
      <c r="H564" s="10" t="n">
        <v>20</v>
      </c>
      <c r="I564" s="10" t="n">
        <v>340</v>
      </c>
      <c r="J564" s="7" t="inlineStr">
        <is>
          <t>GA</t>
        </is>
      </c>
      <c r="K564" s="7" t="inlineStr">
        <is>
          <t>2-4 Unit</t>
        </is>
      </c>
      <c r="L564" s="7" t="inlineStr">
        <is>
          <t>Highline Capital</t>
        </is>
      </c>
      <c r="M564" s="7" t="inlineStr">
        <is>
          <t>Northgate Servicing</t>
        </is>
      </c>
    </row>
    <row r="565">
      <c r="A565" s="5" t="inlineStr">
        <is>
          <t>L100560</t>
        </is>
      </c>
      <c r="B565" s="16" t="n">
        <v>236868.84</v>
      </c>
      <c r="C565" s="16" t="n">
        <v>232374.69</v>
      </c>
      <c r="D565" s="26" t="n">
        <v>7.309</v>
      </c>
      <c r="E565" s="6" t="n">
        <v>735</v>
      </c>
      <c r="F565" s="11" t="n">
        <v>81.7</v>
      </c>
      <c r="G565" s="11" t="n">
        <v>35.9</v>
      </c>
      <c r="H565" s="6" t="n">
        <v>23</v>
      </c>
      <c r="I565" s="6" t="n">
        <v>337</v>
      </c>
      <c r="J565" s="5" t="inlineStr">
        <is>
          <t>NC</t>
        </is>
      </c>
      <c r="K565" s="5" t="inlineStr">
        <is>
          <t>SFR</t>
        </is>
      </c>
      <c r="L565" s="5" t="inlineStr">
        <is>
          <t>Apex Funding</t>
        </is>
      </c>
      <c r="M565" s="5" t="inlineStr">
        <is>
          <t>Summit Loan Servicing</t>
        </is>
      </c>
    </row>
    <row r="566">
      <c r="A566" s="7" t="inlineStr">
        <is>
          <t>L100561</t>
        </is>
      </c>
      <c r="B566" s="8" t="n">
        <v>272938.92</v>
      </c>
      <c r="C566" s="8" t="n">
        <v>262516.57</v>
      </c>
      <c r="D566" s="27" t="n">
        <v>7.393</v>
      </c>
      <c r="E566" s="10" t="n">
        <v>718</v>
      </c>
      <c r="F566" s="12" t="n">
        <v>65.2</v>
      </c>
      <c r="G566" s="12" t="n">
        <v>22.1</v>
      </c>
      <c r="H566" s="10" t="n">
        <v>44</v>
      </c>
      <c r="I566" s="10" t="n">
        <v>316</v>
      </c>
      <c r="J566" s="7" t="inlineStr">
        <is>
          <t>FL</t>
        </is>
      </c>
      <c r="K566" s="7" t="inlineStr">
        <is>
          <t>SFR</t>
        </is>
      </c>
      <c r="L566" s="7" t="inlineStr">
        <is>
          <t>Meridian Home Loans</t>
        </is>
      </c>
      <c r="M566" s="7" t="inlineStr">
        <is>
          <t>Northgate Servicing</t>
        </is>
      </c>
    </row>
    <row r="567">
      <c r="A567" s="5" t="inlineStr">
        <is>
          <t>L100562</t>
        </is>
      </c>
      <c r="B567" s="16" t="n">
        <v>247186.83</v>
      </c>
      <c r="C567" s="16" t="n">
        <v>241474.03</v>
      </c>
      <c r="D567" s="26" t="n">
        <v>5.995</v>
      </c>
      <c r="E567" s="6" t="n">
        <v>788</v>
      </c>
      <c r="F567" s="11" t="n">
        <v>77.8</v>
      </c>
      <c r="G567" s="11" t="n">
        <v>39.7</v>
      </c>
      <c r="H567" s="6" t="n">
        <v>22</v>
      </c>
      <c r="I567" s="6" t="n">
        <v>338</v>
      </c>
      <c r="J567" s="5" t="inlineStr">
        <is>
          <t>TX</t>
        </is>
      </c>
      <c r="K567" s="5" t="inlineStr">
        <is>
          <t>SFR</t>
        </is>
      </c>
      <c r="L567" s="5" t="inlineStr">
        <is>
          <t>Coastal Mortgage Co</t>
        </is>
      </c>
      <c r="M567" s="5" t="inlineStr">
        <is>
          <t>Pier Asset Mgmt</t>
        </is>
      </c>
    </row>
    <row r="568">
      <c r="A568" s="7" t="inlineStr">
        <is>
          <t>L100563</t>
        </is>
      </c>
      <c r="B568" s="8" t="n">
        <v>185732.48</v>
      </c>
      <c r="C568" s="8" t="n">
        <v>184214.83</v>
      </c>
      <c r="D568" s="27" t="n">
        <v>6.591</v>
      </c>
      <c r="E568" s="10" t="n">
        <v>808</v>
      </c>
      <c r="F568" s="12" t="n">
        <v>71.3</v>
      </c>
      <c r="G568" s="12" t="n">
        <v>32.4</v>
      </c>
      <c r="H568" s="10" t="n">
        <v>9</v>
      </c>
      <c r="I568" s="10" t="n">
        <v>351</v>
      </c>
      <c r="J568" s="7" t="inlineStr">
        <is>
          <t>OH</t>
        </is>
      </c>
      <c r="K568" s="7" t="inlineStr">
        <is>
          <t>SFR</t>
        </is>
      </c>
      <c r="L568" s="7" t="inlineStr">
        <is>
          <t>Apex Funding</t>
        </is>
      </c>
      <c r="M568" s="7" t="inlineStr">
        <is>
          <t>Summit Loan Servicing</t>
        </is>
      </c>
    </row>
    <row r="569">
      <c r="A569" s="5" t="inlineStr">
        <is>
          <t>L100564</t>
        </is>
      </c>
      <c r="B569" s="16" t="n">
        <v>332722.67</v>
      </c>
      <c r="C569" s="16" t="n">
        <v>319349.89</v>
      </c>
      <c r="D569" s="26" t="n">
        <v>5.312</v>
      </c>
      <c r="E569" s="6" t="n">
        <v>777</v>
      </c>
      <c r="F569" s="11" t="n">
        <v>80</v>
      </c>
      <c r="G569" s="11" t="n">
        <v>46.1</v>
      </c>
      <c r="H569" s="6" t="n">
        <v>33</v>
      </c>
      <c r="I569" s="6" t="n">
        <v>327</v>
      </c>
      <c r="J569" s="5" t="inlineStr">
        <is>
          <t>FL</t>
        </is>
      </c>
      <c r="K569" s="5" t="inlineStr">
        <is>
          <t>2-4 Unit</t>
        </is>
      </c>
      <c r="L569" s="5" t="inlineStr">
        <is>
          <t>Apex Funding</t>
        </is>
      </c>
      <c r="M569" s="5" t="inlineStr">
        <is>
          <t>Northgate Servicing</t>
        </is>
      </c>
    </row>
    <row r="570">
      <c r="A570" s="7" t="inlineStr">
        <is>
          <t>L100565</t>
        </is>
      </c>
      <c r="B570" s="8" t="n">
        <v>314517.32</v>
      </c>
      <c r="C570" s="8" t="n">
        <v>313497.95</v>
      </c>
      <c r="D570" s="27" t="n">
        <v>5.594</v>
      </c>
      <c r="E570" s="10" t="n">
        <v>663</v>
      </c>
      <c r="F570" s="12" t="n">
        <v>75.40000000000001</v>
      </c>
      <c r="G570" s="12" t="n">
        <v>40.7</v>
      </c>
      <c r="H570" s="10" t="n">
        <v>3</v>
      </c>
      <c r="I570" s="10" t="n">
        <v>357</v>
      </c>
      <c r="J570" s="7" t="inlineStr">
        <is>
          <t>NY</t>
        </is>
      </c>
      <c r="K570" s="7" t="inlineStr">
        <is>
          <t>SFR</t>
        </is>
      </c>
      <c r="L570" s="7" t="inlineStr">
        <is>
          <t>Apex Funding</t>
        </is>
      </c>
      <c r="M570" s="7" t="inlineStr">
        <is>
          <t>Northgate Servicing</t>
        </is>
      </c>
    </row>
    <row r="571">
      <c r="A571" s="5" t="inlineStr">
        <is>
          <t>L100566</t>
        </is>
      </c>
      <c r="B571" s="16" t="n">
        <v>229606.69</v>
      </c>
      <c r="C571" s="16" t="n">
        <v>225929.2</v>
      </c>
      <c r="D571" s="26" t="n">
        <v>6.512</v>
      </c>
      <c r="E571" s="6" t="n">
        <v>726</v>
      </c>
      <c r="F571" s="11" t="n">
        <v>37.1</v>
      </c>
      <c r="G571" s="11" t="n">
        <v>45.4</v>
      </c>
      <c r="H571" s="6" t="n">
        <v>17</v>
      </c>
      <c r="I571" s="6" t="n">
        <v>343</v>
      </c>
      <c r="J571" s="5" t="inlineStr">
        <is>
          <t>GA</t>
        </is>
      </c>
      <c r="K571" s="5" t="inlineStr">
        <is>
          <t>SFR</t>
        </is>
      </c>
      <c r="L571" s="5" t="inlineStr">
        <is>
          <t>Meridian Home Loans</t>
        </is>
      </c>
      <c r="M571" s="5" t="inlineStr">
        <is>
          <t>Northgate Servicing</t>
        </is>
      </c>
    </row>
    <row r="572">
      <c r="A572" s="7" t="inlineStr">
        <is>
          <t>L100567</t>
        </is>
      </c>
      <c r="B572" s="8" t="n">
        <v>193199.64</v>
      </c>
      <c r="C572" s="8" t="n">
        <v>187244.24</v>
      </c>
      <c r="D572" s="27" t="n">
        <v>6.428</v>
      </c>
      <c r="E572" s="10" t="n">
        <v>739</v>
      </c>
      <c r="F572" s="12" t="n">
        <v>76.09999999999999</v>
      </c>
      <c r="G572" s="12" t="n">
        <v>27.9</v>
      </c>
      <c r="H572" s="10" t="n">
        <v>31</v>
      </c>
      <c r="I572" s="10" t="n">
        <v>329</v>
      </c>
      <c r="J572" s="7" t="inlineStr">
        <is>
          <t>TX</t>
        </is>
      </c>
      <c r="K572" s="7" t="inlineStr">
        <is>
          <t>Condo</t>
        </is>
      </c>
      <c r="L572" s="7" t="inlineStr">
        <is>
          <t>Apex Funding</t>
        </is>
      </c>
      <c r="M572" s="7" t="inlineStr">
        <is>
          <t>Summit Loan Servicing</t>
        </is>
      </c>
    </row>
    <row r="573">
      <c r="A573" s="5" t="inlineStr">
        <is>
          <t>L100568</t>
        </is>
      </c>
      <c r="B573" s="16" t="n">
        <v>294180.78</v>
      </c>
      <c r="C573" s="16" t="n">
        <v>290239.68</v>
      </c>
      <c r="D573" s="26" t="n">
        <v>5.53</v>
      </c>
      <c r="E573" s="6" t="n">
        <v>615</v>
      </c>
      <c r="F573" s="11" t="n">
        <v>81.7</v>
      </c>
      <c r="G573" s="11" t="n">
        <v>33</v>
      </c>
      <c r="H573" s="6" t="n">
        <v>12</v>
      </c>
      <c r="I573" s="6" t="n">
        <v>348</v>
      </c>
      <c r="J573" s="5" t="inlineStr">
        <is>
          <t>CA</t>
        </is>
      </c>
      <c r="K573" s="5" t="inlineStr">
        <is>
          <t>SFR</t>
        </is>
      </c>
      <c r="L573" s="5" t="inlineStr">
        <is>
          <t>Meridian Home Loans</t>
        </is>
      </c>
      <c r="M573" s="5" t="inlineStr">
        <is>
          <t>Summit Loan Servicing</t>
        </is>
      </c>
    </row>
    <row r="574">
      <c r="A574" s="7" t="inlineStr">
        <is>
          <t>L100569</t>
        </is>
      </c>
      <c r="B574" s="8" t="n">
        <v>259312.91</v>
      </c>
      <c r="C574" s="8" t="n">
        <v>251229.51</v>
      </c>
      <c r="D574" s="27" t="n">
        <v>5.756</v>
      </c>
      <c r="E574" s="10" t="n">
        <v>741</v>
      </c>
      <c r="F574" s="12" t="n">
        <v>79.40000000000001</v>
      </c>
      <c r="G574" s="12" t="n">
        <v>26.1</v>
      </c>
      <c r="H574" s="10" t="n">
        <v>28</v>
      </c>
      <c r="I574" s="10" t="n">
        <v>332</v>
      </c>
      <c r="J574" s="7" t="inlineStr">
        <is>
          <t>IL</t>
        </is>
      </c>
      <c r="K574" s="7" t="inlineStr">
        <is>
          <t>SFR</t>
        </is>
      </c>
      <c r="L574" s="7" t="inlineStr">
        <is>
          <t>Coastal Mortgage Co</t>
        </is>
      </c>
      <c r="M574" s="7" t="inlineStr">
        <is>
          <t>Northgate Servicing</t>
        </is>
      </c>
    </row>
    <row r="575">
      <c r="A575" s="5" t="inlineStr">
        <is>
          <t>L100570</t>
        </is>
      </c>
      <c r="B575" s="16" t="n">
        <v>146262.09</v>
      </c>
      <c r="C575" s="16" t="n">
        <v>142526.01</v>
      </c>
      <c r="D575" s="26" t="n">
        <v>5.441</v>
      </c>
      <c r="E575" s="6" t="n">
        <v>820</v>
      </c>
      <c r="F575" s="11" t="n">
        <v>72.8</v>
      </c>
      <c r="G575" s="11" t="n">
        <v>30.4</v>
      </c>
      <c r="H575" s="6" t="n">
        <v>22</v>
      </c>
      <c r="I575" s="6" t="n">
        <v>338</v>
      </c>
      <c r="J575" s="5" t="inlineStr">
        <is>
          <t>WA</t>
        </is>
      </c>
      <c r="K575" s="5" t="inlineStr">
        <is>
          <t>SFR</t>
        </is>
      </c>
      <c r="L575" s="5" t="inlineStr">
        <is>
          <t>Meridian Home Loans</t>
        </is>
      </c>
      <c r="M575" s="5" t="inlineStr">
        <is>
          <t>Pier Asset Mgmt</t>
        </is>
      </c>
    </row>
    <row r="576">
      <c r="A576" s="7" t="inlineStr">
        <is>
          <t>L100571</t>
        </is>
      </c>
      <c r="B576" s="8" t="n">
        <v>237092.8</v>
      </c>
      <c r="C576" s="8" t="n">
        <v>226782.83</v>
      </c>
      <c r="D576" s="27" t="n">
        <v>6.81</v>
      </c>
      <c r="E576" s="10" t="n">
        <v>750</v>
      </c>
      <c r="F576" s="12" t="n">
        <v>93.7</v>
      </c>
      <c r="G576" s="12" t="n">
        <v>46</v>
      </c>
      <c r="H576" s="10" t="n">
        <v>45</v>
      </c>
      <c r="I576" s="10" t="n">
        <v>315</v>
      </c>
      <c r="J576" s="7" t="inlineStr">
        <is>
          <t>GA</t>
        </is>
      </c>
      <c r="K576" s="7" t="inlineStr">
        <is>
          <t>Condo</t>
        </is>
      </c>
      <c r="L576" s="7" t="inlineStr">
        <is>
          <t>Apex Funding</t>
        </is>
      </c>
      <c r="M576" s="7" t="inlineStr">
        <is>
          <t>Pier Asset Mgmt</t>
        </is>
      </c>
    </row>
    <row r="577">
      <c r="A577" s="5" t="inlineStr">
        <is>
          <t>L100572</t>
        </is>
      </c>
      <c r="B577" s="16" t="n">
        <v>266122.64</v>
      </c>
      <c r="C577" s="16" t="n">
        <v>261208.25</v>
      </c>
      <c r="D577" s="26" t="n">
        <v>4.629</v>
      </c>
      <c r="E577" s="6" t="n">
        <v>796</v>
      </c>
      <c r="F577" s="11" t="n">
        <v>77.7</v>
      </c>
      <c r="G577" s="11" t="n">
        <v>47.9</v>
      </c>
      <c r="H577" s="6" t="n">
        <v>14</v>
      </c>
      <c r="I577" s="6" t="n">
        <v>346</v>
      </c>
      <c r="J577" s="5" t="inlineStr">
        <is>
          <t>GA</t>
        </is>
      </c>
      <c r="K577" s="5" t="inlineStr">
        <is>
          <t>SFR</t>
        </is>
      </c>
      <c r="L577" s="5" t="inlineStr">
        <is>
          <t>Apex Funding</t>
        </is>
      </c>
      <c r="M577" s="5" t="inlineStr">
        <is>
          <t>Pier Asset Mgmt</t>
        </is>
      </c>
    </row>
    <row r="578">
      <c r="A578" s="7" t="inlineStr">
        <is>
          <t>L100573</t>
        </is>
      </c>
      <c r="B578" s="8" t="n">
        <v>177212.85</v>
      </c>
      <c r="C578" s="8" t="n">
        <v>168001.04</v>
      </c>
      <c r="D578" s="27" t="n">
        <v>5.49</v>
      </c>
      <c r="E578" s="10" t="n">
        <v>725</v>
      </c>
      <c r="F578" s="12" t="n">
        <v>79.3</v>
      </c>
      <c r="G578" s="12" t="n">
        <v>26.8</v>
      </c>
      <c r="H578" s="10" t="n">
        <v>43</v>
      </c>
      <c r="I578" s="10" t="n">
        <v>317</v>
      </c>
      <c r="J578" s="7" t="inlineStr">
        <is>
          <t>NC</t>
        </is>
      </c>
      <c r="K578" s="7" t="inlineStr">
        <is>
          <t>SFR</t>
        </is>
      </c>
      <c r="L578" s="7" t="inlineStr">
        <is>
          <t>Highline Capital</t>
        </is>
      </c>
      <c r="M578" s="7" t="inlineStr">
        <is>
          <t>Northgate Servicing</t>
        </is>
      </c>
    </row>
    <row r="579">
      <c r="A579" s="5" t="inlineStr">
        <is>
          <t>L100574</t>
        </is>
      </c>
      <c r="B579" s="16" t="n">
        <v>259482.67</v>
      </c>
      <c r="C579" s="16" t="n">
        <v>249057.24</v>
      </c>
      <c r="D579" s="26" t="n">
        <v>4.723</v>
      </c>
      <c r="E579" s="6" t="n">
        <v>711</v>
      </c>
      <c r="F579" s="11" t="n">
        <v>86.5</v>
      </c>
      <c r="G579" s="11" t="n">
        <v>32.3</v>
      </c>
      <c r="H579" s="6" t="n">
        <v>30</v>
      </c>
      <c r="I579" s="6" t="n">
        <v>330</v>
      </c>
      <c r="J579" s="5" t="inlineStr">
        <is>
          <t>OH</t>
        </is>
      </c>
      <c r="K579" s="5" t="inlineStr">
        <is>
          <t>SFR</t>
        </is>
      </c>
      <c r="L579" s="5" t="inlineStr">
        <is>
          <t>Coastal Mortgage Co</t>
        </is>
      </c>
      <c r="M579" s="5" t="inlineStr">
        <is>
          <t>Summit Loan Servicing</t>
        </is>
      </c>
    </row>
    <row r="580">
      <c r="A580" s="7" t="inlineStr">
        <is>
          <t>L100575</t>
        </is>
      </c>
      <c r="B580" s="8" t="n">
        <v>145919.76</v>
      </c>
      <c r="C580" s="8" t="n">
        <v>140946.32</v>
      </c>
      <c r="D580" s="27" t="n">
        <v>6.777</v>
      </c>
      <c r="E580" s="10" t="n">
        <v>736</v>
      </c>
      <c r="F580" s="12" t="n">
        <v>78.40000000000001</v>
      </c>
      <c r="G580" s="12" t="n">
        <v>35.4</v>
      </c>
      <c r="H580" s="10" t="n">
        <v>36</v>
      </c>
      <c r="I580" s="10" t="n">
        <v>324</v>
      </c>
      <c r="J580" s="7" t="inlineStr">
        <is>
          <t>OH</t>
        </is>
      </c>
      <c r="K580" s="7" t="inlineStr">
        <is>
          <t>SFR</t>
        </is>
      </c>
      <c r="L580" s="7" t="inlineStr">
        <is>
          <t>Meridian Home Loans</t>
        </is>
      </c>
      <c r="M580" s="7" t="inlineStr">
        <is>
          <t>Northgate Servicing</t>
        </is>
      </c>
    </row>
    <row r="581">
      <c r="A581" s="5" t="inlineStr">
        <is>
          <t>L100576</t>
        </is>
      </c>
      <c r="B581" s="16" t="n">
        <v>387575.19</v>
      </c>
      <c r="C581" s="16" t="n">
        <v>383639.65</v>
      </c>
      <c r="D581" s="26" t="n">
        <v>4.778</v>
      </c>
      <c r="E581" s="6" t="n">
        <v>670</v>
      </c>
      <c r="F581" s="11" t="n">
        <v>63.2</v>
      </c>
      <c r="G581" s="11" t="n">
        <v>40.7</v>
      </c>
      <c r="H581" s="6" t="n">
        <v>8</v>
      </c>
      <c r="I581" s="6" t="n">
        <v>352</v>
      </c>
      <c r="J581" s="5" t="inlineStr">
        <is>
          <t>CA</t>
        </is>
      </c>
      <c r="K581" s="5" t="inlineStr">
        <is>
          <t>Multifamily</t>
        </is>
      </c>
      <c r="L581" s="5" t="inlineStr">
        <is>
          <t>Meridian Home Loans</t>
        </is>
      </c>
      <c r="M581" s="5" t="inlineStr">
        <is>
          <t>Pier Asset Mgmt</t>
        </is>
      </c>
    </row>
    <row r="582">
      <c r="A582" s="7" t="inlineStr">
        <is>
          <t>L100577</t>
        </is>
      </c>
      <c r="B582" s="8" t="n">
        <v>375788.77</v>
      </c>
      <c r="C582" s="8" t="n">
        <v>375444.34</v>
      </c>
      <c r="D582" s="27" t="n">
        <v>6.429</v>
      </c>
      <c r="E582" s="10" t="n">
        <v>662</v>
      </c>
      <c r="F582" s="12" t="n">
        <v>44.7</v>
      </c>
      <c r="G582" s="12" t="n">
        <v>21.9</v>
      </c>
      <c r="H582" s="10" t="n">
        <v>1</v>
      </c>
      <c r="I582" s="10" t="n">
        <v>359</v>
      </c>
      <c r="J582" s="7" t="inlineStr">
        <is>
          <t>GA</t>
        </is>
      </c>
      <c r="K582" s="7" t="inlineStr">
        <is>
          <t>SFR</t>
        </is>
      </c>
      <c r="L582" s="7" t="inlineStr">
        <is>
          <t>Highline Capital</t>
        </is>
      </c>
      <c r="M582" s="7" t="inlineStr">
        <is>
          <t>Northgate Servicing</t>
        </is>
      </c>
    </row>
    <row r="583">
      <c r="A583" s="5" t="inlineStr">
        <is>
          <t>L100578</t>
        </is>
      </c>
      <c r="B583" s="16" t="n">
        <v>222263.51</v>
      </c>
      <c r="C583" s="16" t="n">
        <v>216268.28</v>
      </c>
      <c r="D583" s="26" t="n">
        <v>7.876</v>
      </c>
      <c r="E583" s="6" t="n">
        <v>785</v>
      </c>
      <c r="F583" s="11" t="n">
        <v>68.3</v>
      </c>
      <c r="G583" s="11" t="n">
        <v>23.2</v>
      </c>
      <c r="H583" s="6" t="n">
        <v>35</v>
      </c>
      <c r="I583" s="6" t="n">
        <v>325</v>
      </c>
      <c r="J583" s="5" t="inlineStr">
        <is>
          <t>GA</t>
        </is>
      </c>
      <c r="K583" s="5" t="inlineStr">
        <is>
          <t>2-4 Unit</t>
        </is>
      </c>
      <c r="L583" s="5" t="inlineStr">
        <is>
          <t>Highline Capital</t>
        </is>
      </c>
      <c r="M583" s="5" t="inlineStr">
        <is>
          <t>Northgate Servicing</t>
        </is>
      </c>
    </row>
    <row r="584">
      <c r="A584" s="7" t="inlineStr">
        <is>
          <t>L100579</t>
        </is>
      </c>
      <c r="B584" s="8" t="n">
        <v>275738.72</v>
      </c>
      <c r="C584" s="8" t="n">
        <v>271072.19</v>
      </c>
      <c r="D584" s="27" t="n">
        <v>7.906</v>
      </c>
      <c r="E584" s="10" t="n">
        <v>790</v>
      </c>
      <c r="F584" s="12" t="n">
        <v>83.09999999999999</v>
      </c>
      <c r="G584" s="12" t="n">
        <v>39.9</v>
      </c>
      <c r="H584" s="10" t="n">
        <v>23</v>
      </c>
      <c r="I584" s="10" t="n">
        <v>337</v>
      </c>
      <c r="J584" s="7" t="inlineStr">
        <is>
          <t>FL</t>
        </is>
      </c>
      <c r="K584" s="7" t="inlineStr">
        <is>
          <t>SFR</t>
        </is>
      </c>
      <c r="L584" s="7" t="inlineStr">
        <is>
          <t>Meridian Home Loans</t>
        </is>
      </c>
      <c r="M584" s="7" t="inlineStr">
        <is>
          <t>Northgate Servicing</t>
        </is>
      </c>
    </row>
    <row r="585">
      <c r="A585" s="5" t="inlineStr">
        <is>
          <t>L100580</t>
        </is>
      </c>
      <c r="B585" s="16" t="n">
        <v>104456.64</v>
      </c>
      <c r="C585" s="16" t="n">
        <v>102438.72</v>
      </c>
      <c r="D585" s="26" t="n">
        <v>4.775</v>
      </c>
      <c r="E585" s="6" t="n">
        <v>660</v>
      </c>
      <c r="F585" s="11" t="n">
        <v>69.8</v>
      </c>
      <c r="G585" s="11" t="n">
        <v>20.4</v>
      </c>
      <c r="H585" s="6" t="n">
        <v>15</v>
      </c>
      <c r="I585" s="6" t="n">
        <v>345</v>
      </c>
      <c r="J585" s="5" t="inlineStr">
        <is>
          <t>WA</t>
        </is>
      </c>
      <c r="K585" s="5" t="inlineStr">
        <is>
          <t>SFR</t>
        </is>
      </c>
      <c r="L585" s="5" t="inlineStr">
        <is>
          <t>Apex Funding</t>
        </is>
      </c>
      <c r="M585" s="5" t="inlineStr">
        <is>
          <t>Pier Asset Mgmt</t>
        </is>
      </c>
    </row>
    <row r="586">
      <c r="A586" s="7" t="inlineStr">
        <is>
          <t>L100581</t>
        </is>
      </c>
      <c r="B586" s="8" t="n">
        <v>161988.13</v>
      </c>
      <c r="C586" s="8" t="n">
        <v>155126.97</v>
      </c>
      <c r="D586" s="27" t="n">
        <v>6.669</v>
      </c>
      <c r="E586" s="10" t="n">
        <v>768</v>
      </c>
      <c r="F586" s="12" t="n">
        <v>83.59999999999999</v>
      </c>
      <c r="G586" s="12" t="n">
        <v>32.4</v>
      </c>
      <c r="H586" s="10" t="n">
        <v>43</v>
      </c>
      <c r="I586" s="10" t="n">
        <v>317</v>
      </c>
      <c r="J586" s="7" t="inlineStr">
        <is>
          <t>FL</t>
        </is>
      </c>
      <c r="K586" s="7" t="inlineStr">
        <is>
          <t>SFR</t>
        </is>
      </c>
      <c r="L586" s="7" t="inlineStr">
        <is>
          <t>Coastal Mortgage Co</t>
        </is>
      </c>
      <c r="M586" s="7" t="inlineStr">
        <is>
          <t>Pier Asset Mgmt</t>
        </is>
      </c>
    </row>
    <row r="587">
      <c r="A587" s="5" t="inlineStr">
        <is>
          <t>L100582</t>
        </is>
      </c>
      <c r="B587" s="16" t="n">
        <v>219076.74</v>
      </c>
      <c r="C587" s="16" t="n">
        <v>215112.54</v>
      </c>
      <c r="D587" s="26" t="n">
        <v>5.51</v>
      </c>
      <c r="E587" s="6" t="n">
        <v>710</v>
      </c>
      <c r="F587" s="11" t="n">
        <v>75.8</v>
      </c>
      <c r="G587" s="11" t="n">
        <v>37.3</v>
      </c>
      <c r="H587" s="6" t="n">
        <v>16</v>
      </c>
      <c r="I587" s="6" t="n">
        <v>344</v>
      </c>
      <c r="J587" s="5" t="inlineStr">
        <is>
          <t>OH</t>
        </is>
      </c>
      <c r="K587" s="5" t="inlineStr">
        <is>
          <t>Condo</t>
        </is>
      </c>
      <c r="L587" s="5" t="inlineStr">
        <is>
          <t>Coastal Mortgage Co</t>
        </is>
      </c>
      <c r="M587" s="5" t="inlineStr">
        <is>
          <t>Pier Asset Mgmt</t>
        </is>
      </c>
    </row>
    <row r="588">
      <c r="A588" s="7" t="inlineStr">
        <is>
          <t>L100583</t>
        </is>
      </c>
      <c r="B588" s="8" t="n">
        <v>166833.81</v>
      </c>
      <c r="C588" s="8" t="n">
        <v>162690.9</v>
      </c>
      <c r="D588" s="27" t="n">
        <v>5.326</v>
      </c>
      <c r="E588" s="10" t="n">
        <v>734</v>
      </c>
      <c r="F588" s="12" t="n">
        <v>89.5</v>
      </c>
      <c r="G588" s="12" t="n">
        <v>39.3</v>
      </c>
      <c r="H588" s="10" t="n">
        <v>21</v>
      </c>
      <c r="I588" s="10" t="n">
        <v>339</v>
      </c>
      <c r="J588" s="7" t="inlineStr">
        <is>
          <t>TX</t>
        </is>
      </c>
      <c r="K588" s="7" t="inlineStr">
        <is>
          <t>Multifamily</t>
        </is>
      </c>
      <c r="L588" s="7" t="inlineStr">
        <is>
          <t>Apex Funding</t>
        </is>
      </c>
      <c r="M588" s="7" t="inlineStr">
        <is>
          <t>Northgate Servicing</t>
        </is>
      </c>
    </row>
    <row r="589">
      <c r="A589" s="5" t="inlineStr">
        <is>
          <t>L100584</t>
        </is>
      </c>
      <c r="B589" s="16" t="n">
        <v>311775.54</v>
      </c>
      <c r="C589" s="16" t="n">
        <v>271737.01</v>
      </c>
      <c r="D589" s="26" t="n">
        <v>6.298</v>
      </c>
      <c r="E589" s="6" t="n">
        <v>740</v>
      </c>
      <c r="F589" s="11" t="n">
        <v>70.5</v>
      </c>
      <c r="G589" s="11" t="n">
        <v>34.9</v>
      </c>
      <c r="H589" s="6" t="n">
        <v>35</v>
      </c>
      <c r="I589" s="6" t="n">
        <v>145</v>
      </c>
      <c r="J589" s="5" t="inlineStr">
        <is>
          <t>NC</t>
        </is>
      </c>
      <c r="K589" s="5" t="inlineStr">
        <is>
          <t>SFR</t>
        </is>
      </c>
      <c r="L589" s="5" t="inlineStr">
        <is>
          <t>Highline Capital</t>
        </is>
      </c>
      <c r="M589" s="5" t="inlineStr">
        <is>
          <t>Pier Asset Mgmt</t>
        </is>
      </c>
    </row>
    <row r="590">
      <c r="A590" s="7" t="inlineStr">
        <is>
          <t>L100585</t>
        </is>
      </c>
      <c r="B590" s="8" t="n">
        <v>488479.99</v>
      </c>
      <c r="C590" s="8" t="n">
        <v>469246.04</v>
      </c>
      <c r="D590" s="27" t="n">
        <v>7.505</v>
      </c>
      <c r="E590" s="10" t="n">
        <v>770</v>
      </c>
      <c r="F590" s="12" t="n">
        <v>79.59999999999999</v>
      </c>
      <c r="G590" s="12" t="n">
        <v>33.1</v>
      </c>
      <c r="H590" s="10" t="n">
        <v>46</v>
      </c>
      <c r="I590" s="10" t="n">
        <v>314</v>
      </c>
      <c r="J590" s="7" t="inlineStr">
        <is>
          <t>AZ</t>
        </is>
      </c>
      <c r="K590" s="7" t="inlineStr">
        <is>
          <t>SFR</t>
        </is>
      </c>
      <c r="L590" s="7" t="inlineStr">
        <is>
          <t>Meridian Home Loans</t>
        </is>
      </c>
      <c r="M590" s="7" t="inlineStr">
        <is>
          <t>Pier Asset Mgmt</t>
        </is>
      </c>
    </row>
    <row r="591">
      <c r="A591" s="5" t="inlineStr">
        <is>
          <t>L100586</t>
        </is>
      </c>
      <c r="B591" s="16" t="n">
        <v>160843.13</v>
      </c>
      <c r="C591" s="16" t="n">
        <v>154351.37</v>
      </c>
      <c r="D591" s="26" t="n">
        <v>6.94</v>
      </c>
      <c r="E591" s="6" t="n">
        <v>720</v>
      </c>
      <c r="F591" s="11" t="n">
        <v>80.09999999999999</v>
      </c>
      <c r="G591" s="11" t="n">
        <v>42.8</v>
      </c>
      <c r="H591" s="6" t="n">
        <v>43</v>
      </c>
      <c r="I591" s="6" t="n">
        <v>317</v>
      </c>
      <c r="J591" s="5" t="inlineStr">
        <is>
          <t>GA</t>
        </is>
      </c>
      <c r="K591" s="5" t="inlineStr">
        <is>
          <t>SFR</t>
        </is>
      </c>
      <c r="L591" s="5" t="inlineStr">
        <is>
          <t>Highline Capital</t>
        </is>
      </c>
      <c r="M591" s="5" t="inlineStr">
        <is>
          <t>Pier Asset Mgmt</t>
        </is>
      </c>
    </row>
    <row r="592">
      <c r="A592" s="7" t="inlineStr">
        <is>
          <t>L100587</t>
        </is>
      </c>
      <c r="B592" s="8" t="n">
        <v>181115.06</v>
      </c>
      <c r="C592" s="8" t="n">
        <v>174818.28</v>
      </c>
      <c r="D592" s="27" t="n">
        <v>5.756</v>
      </c>
      <c r="E592" s="10" t="n">
        <v>793</v>
      </c>
      <c r="F592" s="12" t="n">
        <v>92</v>
      </c>
      <c r="G592" s="12" t="n">
        <v>38.3</v>
      </c>
      <c r="H592" s="10" t="n">
        <v>31</v>
      </c>
      <c r="I592" s="10" t="n">
        <v>329</v>
      </c>
      <c r="J592" s="7" t="inlineStr">
        <is>
          <t>TX</t>
        </is>
      </c>
      <c r="K592" s="7" t="inlineStr">
        <is>
          <t>SFR</t>
        </is>
      </c>
      <c r="L592" s="7" t="inlineStr">
        <is>
          <t>Meridian Home Loans</t>
        </is>
      </c>
      <c r="M592" s="7" t="inlineStr">
        <is>
          <t>Pier Asset Mgmt</t>
        </is>
      </c>
    </row>
    <row r="593">
      <c r="A593" s="5" t="inlineStr">
        <is>
          <t>L100588</t>
        </is>
      </c>
      <c r="B593" s="16" t="n">
        <v>263657.69</v>
      </c>
      <c r="C593" s="16" t="n">
        <v>262350.89</v>
      </c>
      <c r="D593" s="26" t="n">
        <v>7.035</v>
      </c>
      <c r="E593" s="6" t="n">
        <v>732</v>
      </c>
      <c r="F593" s="11" t="n">
        <v>53.5</v>
      </c>
      <c r="G593" s="11" t="n">
        <v>30.8</v>
      </c>
      <c r="H593" s="6" t="n">
        <v>6</v>
      </c>
      <c r="I593" s="6" t="n">
        <v>354</v>
      </c>
      <c r="J593" s="5" t="inlineStr">
        <is>
          <t>TX</t>
        </is>
      </c>
      <c r="K593" s="5" t="inlineStr">
        <is>
          <t>SFR</t>
        </is>
      </c>
      <c r="L593" s="5" t="inlineStr">
        <is>
          <t>Apex Funding</t>
        </is>
      </c>
      <c r="M593" s="5" t="inlineStr">
        <is>
          <t>Summit Loan Servicing</t>
        </is>
      </c>
    </row>
    <row r="594">
      <c r="A594" s="7" t="inlineStr">
        <is>
          <t>L100589</t>
        </is>
      </c>
      <c r="B594" s="8" t="n">
        <v>426723.12</v>
      </c>
      <c r="C594" s="8" t="n">
        <v>423246.44</v>
      </c>
      <c r="D594" s="27" t="n">
        <v>4.381</v>
      </c>
      <c r="E594" s="10" t="n">
        <v>749</v>
      </c>
      <c r="F594" s="12" t="n">
        <v>68.5</v>
      </c>
      <c r="G594" s="12" t="n">
        <v>36.3</v>
      </c>
      <c r="H594" s="10" t="n">
        <v>6</v>
      </c>
      <c r="I594" s="10" t="n">
        <v>354</v>
      </c>
      <c r="J594" s="7" t="inlineStr">
        <is>
          <t>NC</t>
        </is>
      </c>
      <c r="K594" s="7" t="inlineStr">
        <is>
          <t>2-4 Unit</t>
        </is>
      </c>
      <c r="L594" s="7" t="inlineStr">
        <is>
          <t>Meridian Home Loans</t>
        </is>
      </c>
      <c r="M594" s="7" t="inlineStr">
        <is>
          <t>Northgate Servicing</t>
        </is>
      </c>
    </row>
    <row r="595">
      <c r="A595" s="5" t="inlineStr">
        <is>
          <t>L100590</t>
        </is>
      </c>
      <c r="B595" s="16" t="n">
        <v>158287.61</v>
      </c>
      <c r="C595" s="16" t="n">
        <v>152365.27</v>
      </c>
      <c r="D595" s="26" t="n">
        <v>5.722</v>
      </c>
      <c r="E595" s="6" t="n">
        <v>669</v>
      </c>
      <c r="F595" s="11" t="n">
        <v>84.2</v>
      </c>
      <c r="G595" s="11" t="n">
        <v>39.1</v>
      </c>
      <c r="H595" s="6" t="n">
        <v>33</v>
      </c>
      <c r="I595" s="6" t="n">
        <v>327</v>
      </c>
      <c r="J595" s="5" t="inlineStr">
        <is>
          <t>OH</t>
        </is>
      </c>
      <c r="K595" s="5" t="inlineStr">
        <is>
          <t>SFR</t>
        </is>
      </c>
      <c r="L595" s="5" t="inlineStr">
        <is>
          <t>Meridian Home Loans</t>
        </is>
      </c>
      <c r="M595" s="5" t="inlineStr">
        <is>
          <t>Summit Loan Servicing</t>
        </is>
      </c>
    </row>
    <row r="596">
      <c r="A596" s="7" t="inlineStr">
        <is>
          <t>L100591</t>
        </is>
      </c>
      <c r="B596" s="8" t="n">
        <v>264914.56</v>
      </c>
      <c r="C596" s="8" t="n">
        <v>257780.53</v>
      </c>
      <c r="D596" s="27" t="n">
        <v>5.658</v>
      </c>
      <c r="E596" s="10" t="n">
        <v>820</v>
      </c>
      <c r="F596" s="12" t="n">
        <v>92.59999999999999</v>
      </c>
      <c r="G596" s="12" t="n">
        <v>49.7</v>
      </c>
      <c r="H596" s="10" t="n">
        <v>24</v>
      </c>
      <c r="I596" s="10" t="n">
        <v>336</v>
      </c>
      <c r="J596" s="7" t="inlineStr">
        <is>
          <t>GA</t>
        </is>
      </c>
      <c r="K596" s="7" t="inlineStr">
        <is>
          <t>Condo</t>
        </is>
      </c>
      <c r="L596" s="7" t="inlineStr">
        <is>
          <t>Meridian Home Loans</t>
        </is>
      </c>
      <c r="M596" s="7" t="inlineStr">
        <is>
          <t>Northgate Servicing</t>
        </is>
      </c>
    </row>
    <row r="597">
      <c r="A597" s="5" t="inlineStr">
        <is>
          <t>L100592</t>
        </is>
      </c>
      <c r="B597" s="16" t="n">
        <v>459298.04</v>
      </c>
      <c r="C597" s="16" t="n">
        <v>456326.86</v>
      </c>
      <c r="D597" s="26" t="n">
        <v>6.47</v>
      </c>
      <c r="E597" s="6" t="n">
        <v>741</v>
      </c>
      <c r="F597" s="11" t="n">
        <v>76.90000000000001</v>
      </c>
      <c r="G597" s="11" t="n">
        <v>42.3</v>
      </c>
      <c r="H597" s="6" t="n">
        <v>7</v>
      </c>
      <c r="I597" s="6" t="n">
        <v>353</v>
      </c>
      <c r="J597" s="5" t="inlineStr">
        <is>
          <t>TX</t>
        </is>
      </c>
      <c r="K597" s="5" t="inlineStr">
        <is>
          <t>2-4 Unit</t>
        </is>
      </c>
      <c r="L597" s="5" t="inlineStr">
        <is>
          <t>Highline Capital</t>
        </is>
      </c>
      <c r="M597" s="5" t="inlineStr">
        <is>
          <t>Pier Asset Mgmt</t>
        </is>
      </c>
    </row>
    <row r="598">
      <c r="A598" s="7" t="inlineStr">
        <is>
          <t>L100593</t>
        </is>
      </c>
      <c r="B598" s="8" t="n">
        <v>136200.63</v>
      </c>
      <c r="C598" s="8" t="n">
        <v>131533.17</v>
      </c>
      <c r="D598" s="27" t="n">
        <v>6.217</v>
      </c>
      <c r="E598" s="10" t="n">
        <v>754</v>
      </c>
      <c r="F598" s="12" t="n">
        <v>70.5</v>
      </c>
      <c r="G598" s="12" t="n">
        <v>45.7</v>
      </c>
      <c r="H598" s="10" t="n">
        <v>33</v>
      </c>
      <c r="I598" s="10" t="n">
        <v>327</v>
      </c>
      <c r="J598" s="7" t="inlineStr">
        <is>
          <t>AZ</t>
        </is>
      </c>
      <c r="K598" s="7" t="inlineStr">
        <is>
          <t>SFR</t>
        </is>
      </c>
      <c r="L598" s="7" t="inlineStr">
        <is>
          <t>Apex Funding</t>
        </is>
      </c>
      <c r="M598" s="7" t="inlineStr">
        <is>
          <t>Pier Asset Mgmt</t>
        </is>
      </c>
    </row>
    <row r="599">
      <c r="A599" s="5" t="inlineStr">
        <is>
          <t>L100594</t>
        </is>
      </c>
      <c r="B599" s="16" t="n">
        <v>155069.05</v>
      </c>
      <c r="C599" s="16" t="n">
        <v>147659.11</v>
      </c>
      <c r="D599" s="26" t="n">
        <v>6.273</v>
      </c>
      <c r="E599" s="6" t="n">
        <v>627</v>
      </c>
      <c r="F599" s="11" t="n">
        <v>83.09999999999999</v>
      </c>
      <c r="G599" s="11" t="n">
        <v>31.1</v>
      </c>
      <c r="H599" s="6" t="n">
        <v>45</v>
      </c>
      <c r="I599" s="6" t="n">
        <v>315</v>
      </c>
      <c r="J599" s="5" t="inlineStr">
        <is>
          <t>IL</t>
        </is>
      </c>
      <c r="K599" s="5" t="inlineStr">
        <is>
          <t>SFR</t>
        </is>
      </c>
      <c r="L599" s="5" t="inlineStr">
        <is>
          <t>Apex Funding</t>
        </is>
      </c>
      <c r="M599" s="5" t="inlineStr">
        <is>
          <t>Summit Loan Servicing</t>
        </is>
      </c>
    </row>
    <row r="600">
      <c r="A600" s="7" t="inlineStr">
        <is>
          <t>L100595</t>
        </is>
      </c>
      <c r="B600" s="8" t="n">
        <v>209344.75</v>
      </c>
      <c r="C600" s="8" t="n">
        <v>206502.44</v>
      </c>
      <c r="D600" s="27" t="n">
        <v>6.243</v>
      </c>
      <c r="E600" s="10" t="n">
        <v>670</v>
      </c>
      <c r="F600" s="12" t="n">
        <v>84.40000000000001</v>
      </c>
      <c r="G600" s="12" t="n">
        <v>31.8</v>
      </c>
      <c r="H600" s="10" t="n">
        <v>4</v>
      </c>
      <c r="I600" s="10" t="n">
        <v>176</v>
      </c>
      <c r="J600" s="7" t="inlineStr">
        <is>
          <t>CA</t>
        </is>
      </c>
      <c r="K600" s="7" t="inlineStr">
        <is>
          <t>2-4 Unit</t>
        </is>
      </c>
      <c r="L600" s="7" t="inlineStr">
        <is>
          <t>Meridian Home Loans</t>
        </is>
      </c>
      <c r="M600" s="7" t="inlineStr">
        <is>
          <t>Pier Asset Mgmt</t>
        </is>
      </c>
    </row>
    <row r="601">
      <c r="A601" s="5" t="inlineStr">
        <is>
          <t>L100596</t>
        </is>
      </c>
      <c r="B601" s="16" t="n">
        <v>202358.07</v>
      </c>
      <c r="C601" s="16" t="n">
        <v>173333.75</v>
      </c>
      <c r="D601" s="26" t="n">
        <v>6.42</v>
      </c>
      <c r="E601" s="6" t="n">
        <v>783</v>
      </c>
      <c r="F601" s="11" t="n">
        <v>69.7</v>
      </c>
      <c r="G601" s="11" t="n">
        <v>34.1</v>
      </c>
      <c r="H601" s="6" t="n">
        <v>39</v>
      </c>
      <c r="I601" s="6" t="n">
        <v>141</v>
      </c>
      <c r="J601" s="5" t="inlineStr">
        <is>
          <t>NY</t>
        </is>
      </c>
      <c r="K601" s="5" t="inlineStr">
        <is>
          <t>SFR</t>
        </is>
      </c>
      <c r="L601" s="5" t="inlineStr">
        <is>
          <t>Highline Capital</t>
        </is>
      </c>
      <c r="M601" s="5" t="inlineStr">
        <is>
          <t>Summit Loan Servicing</t>
        </is>
      </c>
    </row>
    <row r="602">
      <c r="A602" s="7" t="inlineStr">
        <is>
          <t>L100597</t>
        </is>
      </c>
      <c r="B602" s="8" t="n">
        <v>322678.08</v>
      </c>
      <c r="C602" s="8" t="n">
        <v>317862.24</v>
      </c>
      <c r="D602" s="27" t="n">
        <v>6.886</v>
      </c>
      <c r="E602" s="10" t="n">
        <v>731</v>
      </c>
      <c r="F602" s="12" t="n">
        <v>78</v>
      </c>
      <c r="G602" s="12" t="n">
        <v>34.9</v>
      </c>
      <c r="H602" s="10" t="n">
        <v>17</v>
      </c>
      <c r="I602" s="10" t="n">
        <v>343</v>
      </c>
      <c r="J602" s="7" t="inlineStr">
        <is>
          <t>FL</t>
        </is>
      </c>
      <c r="K602" s="7" t="inlineStr">
        <is>
          <t>SFR</t>
        </is>
      </c>
      <c r="L602" s="7" t="inlineStr">
        <is>
          <t>Highline Capital</t>
        </is>
      </c>
      <c r="M602" s="7" t="inlineStr">
        <is>
          <t>Summit Loan Servicing</t>
        </is>
      </c>
    </row>
    <row r="603">
      <c r="A603" s="5" t="inlineStr">
        <is>
          <t>L100598</t>
        </is>
      </c>
      <c r="B603" s="16" t="n">
        <v>264231.5</v>
      </c>
      <c r="C603" s="16" t="n">
        <v>259494.99</v>
      </c>
      <c r="D603" s="26" t="n">
        <v>6.534</v>
      </c>
      <c r="E603" s="6" t="n">
        <v>610</v>
      </c>
      <c r="F603" s="11" t="n">
        <v>88.2</v>
      </c>
      <c r="G603" s="11" t="n">
        <v>27.9</v>
      </c>
      <c r="H603" s="6" t="n">
        <v>19</v>
      </c>
      <c r="I603" s="6" t="n">
        <v>341</v>
      </c>
      <c r="J603" s="5" t="inlineStr">
        <is>
          <t>WA</t>
        </is>
      </c>
      <c r="K603" s="5" t="inlineStr">
        <is>
          <t>2-4 Unit</t>
        </is>
      </c>
      <c r="L603" s="5" t="inlineStr">
        <is>
          <t>Coastal Mortgage Co</t>
        </is>
      </c>
      <c r="M603" s="5" t="inlineStr">
        <is>
          <t>Northgate Servicing</t>
        </is>
      </c>
    </row>
    <row r="604">
      <c r="A604" s="7" t="inlineStr">
        <is>
          <t>L100599</t>
        </is>
      </c>
      <c r="B604" s="8" t="n">
        <v>130452.35</v>
      </c>
      <c r="C604" s="8" t="n">
        <v>125773.65</v>
      </c>
      <c r="D604" s="27" t="n">
        <v>6.144</v>
      </c>
      <c r="E604" s="10" t="n">
        <v>772</v>
      </c>
      <c r="F604" s="12" t="n">
        <v>96.7</v>
      </c>
      <c r="G604" s="12" t="n">
        <v>46.1</v>
      </c>
      <c r="H604" s="10" t="n">
        <v>34</v>
      </c>
      <c r="I604" s="10" t="n">
        <v>326</v>
      </c>
      <c r="J604" s="7" t="inlineStr">
        <is>
          <t>WA</t>
        </is>
      </c>
      <c r="K604" s="7" t="inlineStr">
        <is>
          <t>SFR</t>
        </is>
      </c>
      <c r="L604" s="7" t="inlineStr">
        <is>
          <t>Highline Capital</t>
        </is>
      </c>
      <c r="M604" s="7" t="inlineStr">
        <is>
          <t>Summit Loan Servicing</t>
        </is>
      </c>
    </row>
    <row r="605">
      <c r="A605" s="5" t="inlineStr">
        <is>
          <t>L100600</t>
        </is>
      </c>
      <c r="B605" s="16" t="n">
        <v>290800.76</v>
      </c>
      <c r="C605" s="16" t="n">
        <v>287708.66</v>
      </c>
      <c r="D605" s="26" t="n">
        <v>6.762</v>
      </c>
      <c r="E605" s="6" t="n">
        <v>685</v>
      </c>
      <c r="F605" s="11" t="n">
        <v>82.90000000000001</v>
      </c>
      <c r="G605" s="11" t="n">
        <v>43.1</v>
      </c>
      <c r="H605" s="6" t="n">
        <v>12</v>
      </c>
      <c r="I605" s="6" t="n">
        <v>348</v>
      </c>
      <c r="J605" s="5" t="inlineStr">
        <is>
          <t>TX</t>
        </is>
      </c>
      <c r="K605" s="5" t="inlineStr">
        <is>
          <t>2-4 Unit</t>
        </is>
      </c>
      <c r="L605" s="5" t="inlineStr">
        <is>
          <t>Meridian Home Loans</t>
        </is>
      </c>
      <c r="M605" s="5" t="inlineStr">
        <is>
          <t>Pier Asset Mgmt</t>
        </is>
      </c>
    </row>
    <row r="606">
      <c r="A606" s="7" t="inlineStr">
        <is>
          <t>L100601</t>
        </is>
      </c>
      <c r="B606" s="8" t="n">
        <v>198364.47</v>
      </c>
      <c r="C606" s="8" t="n">
        <v>197073.55</v>
      </c>
      <c r="D606" s="27" t="n">
        <v>7.144</v>
      </c>
      <c r="E606" s="10" t="n">
        <v>793</v>
      </c>
      <c r="F606" s="12" t="n">
        <v>74.5</v>
      </c>
      <c r="G606" s="12" t="n">
        <v>33.6</v>
      </c>
      <c r="H606" s="10" t="n">
        <v>8</v>
      </c>
      <c r="I606" s="10" t="n">
        <v>352</v>
      </c>
      <c r="J606" s="7" t="inlineStr">
        <is>
          <t>GA</t>
        </is>
      </c>
      <c r="K606" s="7" t="inlineStr">
        <is>
          <t>SFR</t>
        </is>
      </c>
      <c r="L606" s="7" t="inlineStr">
        <is>
          <t>Coastal Mortgage Co</t>
        </is>
      </c>
      <c r="M606" s="7" t="inlineStr">
        <is>
          <t>Summit Loan Servicing</t>
        </is>
      </c>
    </row>
    <row r="607">
      <c r="A607" s="5" t="inlineStr">
        <is>
          <t>L100602</t>
        </is>
      </c>
      <c r="B607" s="16" t="n">
        <v>379290.06</v>
      </c>
      <c r="C607" s="16" t="n">
        <v>359478.78</v>
      </c>
      <c r="D607" s="26" t="n">
        <v>5.9</v>
      </c>
      <c r="E607" s="6" t="n">
        <v>710</v>
      </c>
      <c r="F607" s="11" t="n">
        <v>73.40000000000001</v>
      </c>
      <c r="G607" s="11" t="n">
        <v>41.1</v>
      </c>
      <c r="H607" s="6" t="n">
        <v>46</v>
      </c>
      <c r="I607" s="6" t="n">
        <v>314</v>
      </c>
      <c r="J607" s="5" t="inlineStr">
        <is>
          <t>CA</t>
        </is>
      </c>
      <c r="K607" s="5" t="inlineStr">
        <is>
          <t>SFR</t>
        </is>
      </c>
      <c r="L607" s="5" t="inlineStr">
        <is>
          <t>Meridian Home Loans</t>
        </is>
      </c>
      <c r="M607" s="5" t="inlineStr">
        <is>
          <t>Summit Loan Servicing</t>
        </is>
      </c>
    </row>
    <row r="608">
      <c r="A608" s="7" t="inlineStr">
        <is>
          <t>L100603</t>
        </is>
      </c>
      <c r="B608" s="8" t="n">
        <v>194919.97</v>
      </c>
      <c r="C608" s="8" t="n">
        <v>191700.12</v>
      </c>
      <c r="D608" s="27" t="n">
        <v>6.347</v>
      </c>
      <c r="E608" s="10" t="n">
        <v>726</v>
      </c>
      <c r="F608" s="12" t="n">
        <v>80.7</v>
      </c>
      <c r="G608" s="12" t="n">
        <v>37.8</v>
      </c>
      <c r="H608" s="10" t="n">
        <v>17</v>
      </c>
      <c r="I608" s="10" t="n">
        <v>343</v>
      </c>
      <c r="J608" s="7" t="inlineStr">
        <is>
          <t>IL</t>
        </is>
      </c>
      <c r="K608" s="7" t="inlineStr">
        <is>
          <t>SFR</t>
        </is>
      </c>
      <c r="L608" s="7" t="inlineStr">
        <is>
          <t>Meridian Home Loans</t>
        </is>
      </c>
      <c r="M608" s="7" t="inlineStr">
        <is>
          <t>Pier Asset Mgmt</t>
        </is>
      </c>
    </row>
    <row r="609">
      <c r="A609" s="5" t="inlineStr">
        <is>
          <t>L100604</t>
        </is>
      </c>
      <c r="B609" s="16" t="n">
        <v>194305.05</v>
      </c>
      <c r="C609" s="16" t="n">
        <v>193113.26</v>
      </c>
      <c r="D609" s="26" t="n">
        <v>7.446</v>
      </c>
      <c r="E609" s="6" t="n">
        <v>780</v>
      </c>
      <c r="F609" s="11" t="n">
        <v>72.59999999999999</v>
      </c>
      <c r="G609" s="11" t="n">
        <v>41.8</v>
      </c>
      <c r="H609" s="6" t="n">
        <v>8</v>
      </c>
      <c r="I609" s="6" t="n">
        <v>352</v>
      </c>
      <c r="J609" s="5" t="inlineStr">
        <is>
          <t>TX</t>
        </is>
      </c>
      <c r="K609" s="5" t="inlineStr">
        <is>
          <t>SFR</t>
        </is>
      </c>
      <c r="L609" s="5" t="inlineStr">
        <is>
          <t>Highline Capital</t>
        </is>
      </c>
      <c r="M609" s="5" t="inlineStr">
        <is>
          <t>Summit Loan Servicing</t>
        </is>
      </c>
    </row>
    <row r="610">
      <c r="A610" s="7" t="inlineStr">
        <is>
          <t>L100605</t>
        </is>
      </c>
      <c r="B610" s="8" t="n">
        <v>293430.49</v>
      </c>
      <c r="C610" s="8" t="n">
        <v>255775.52</v>
      </c>
      <c r="D610" s="27" t="n">
        <v>5.408</v>
      </c>
      <c r="E610" s="10" t="n">
        <v>666</v>
      </c>
      <c r="F610" s="12" t="n">
        <v>76.3</v>
      </c>
      <c r="G610" s="12" t="n">
        <v>25.2</v>
      </c>
      <c r="H610" s="10" t="n">
        <v>33</v>
      </c>
      <c r="I610" s="10" t="n">
        <v>147</v>
      </c>
      <c r="J610" s="7" t="inlineStr">
        <is>
          <t>AZ</t>
        </is>
      </c>
      <c r="K610" s="7" t="inlineStr">
        <is>
          <t>SFR</t>
        </is>
      </c>
      <c r="L610" s="7" t="inlineStr">
        <is>
          <t>Coastal Mortgage Co</t>
        </is>
      </c>
      <c r="M610" s="7" t="inlineStr">
        <is>
          <t>Pier Asset Mgmt</t>
        </is>
      </c>
    </row>
    <row r="611">
      <c r="A611" s="5" t="inlineStr">
        <is>
          <t>L100606</t>
        </is>
      </c>
      <c r="B611" s="16" t="n">
        <v>317116.43</v>
      </c>
      <c r="C611" s="16" t="n">
        <v>314707.79</v>
      </c>
      <c r="D611" s="26" t="n">
        <v>8.023999999999999</v>
      </c>
      <c r="E611" s="6" t="n">
        <v>660</v>
      </c>
      <c r="F611" s="11" t="n">
        <v>61.3</v>
      </c>
      <c r="G611" s="11" t="n">
        <v>34.8</v>
      </c>
      <c r="H611" s="6" t="n">
        <v>11</v>
      </c>
      <c r="I611" s="6" t="n">
        <v>349</v>
      </c>
      <c r="J611" s="5" t="inlineStr">
        <is>
          <t>CA</t>
        </is>
      </c>
      <c r="K611" s="5" t="inlineStr">
        <is>
          <t>SFR</t>
        </is>
      </c>
      <c r="L611" s="5" t="inlineStr">
        <is>
          <t>Apex Funding</t>
        </is>
      </c>
      <c r="M611" s="5" t="inlineStr">
        <is>
          <t>Pier Asset Mgmt</t>
        </is>
      </c>
    </row>
    <row r="612">
      <c r="A612" s="7" t="inlineStr">
        <is>
          <t>L100607</t>
        </is>
      </c>
      <c r="B612" s="8" t="n">
        <v>284029.9</v>
      </c>
      <c r="C612" s="8" t="n">
        <v>270852.62</v>
      </c>
      <c r="D612" s="27" t="n">
        <v>5.195</v>
      </c>
      <c r="E612" s="10" t="n">
        <v>704</v>
      </c>
      <c r="F612" s="12" t="n">
        <v>89.59999999999999</v>
      </c>
      <c r="G612" s="12" t="n">
        <v>35.5</v>
      </c>
      <c r="H612" s="10" t="n">
        <v>37</v>
      </c>
      <c r="I612" s="10" t="n">
        <v>323</v>
      </c>
      <c r="J612" s="7" t="inlineStr">
        <is>
          <t>WA</t>
        </is>
      </c>
      <c r="K612" s="7" t="inlineStr">
        <is>
          <t>SFR</t>
        </is>
      </c>
      <c r="L612" s="7" t="inlineStr">
        <is>
          <t>Highline Capital</t>
        </is>
      </c>
      <c r="M612" s="7" t="inlineStr">
        <is>
          <t>Summit Loan Servicing</t>
        </is>
      </c>
    </row>
    <row r="613">
      <c r="A613" s="5" t="inlineStr">
        <is>
          <t>L100608</t>
        </is>
      </c>
      <c r="B613" s="16" t="n">
        <v>134597.07</v>
      </c>
      <c r="C613" s="16" t="n">
        <v>134066.14</v>
      </c>
      <c r="D613" s="26" t="n">
        <v>6.089</v>
      </c>
      <c r="E613" s="6" t="n">
        <v>760</v>
      </c>
      <c r="F613" s="11" t="n">
        <v>60.3</v>
      </c>
      <c r="G613" s="11" t="n">
        <v>41</v>
      </c>
      <c r="H613" s="6" t="n">
        <v>4</v>
      </c>
      <c r="I613" s="6" t="n">
        <v>356</v>
      </c>
      <c r="J613" s="5" t="inlineStr">
        <is>
          <t>FL</t>
        </is>
      </c>
      <c r="K613" s="5" t="inlineStr">
        <is>
          <t>SFR</t>
        </is>
      </c>
      <c r="L613" s="5" t="inlineStr">
        <is>
          <t>Highline Capital</t>
        </is>
      </c>
      <c r="M613" s="5" t="inlineStr">
        <is>
          <t>Northgate Servicing</t>
        </is>
      </c>
    </row>
    <row r="614">
      <c r="A614" s="7" t="inlineStr">
        <is>
          <t>L100609</t>
        </is>
      </c>
      <c r="B614" s="8" t="n">
        <v>293112.58</v>
      </c>
      <c r="C614" s="8" t="n">
        <v>284702.52</v>
      </c>
      <c r="D614" s="27" t="n">
        <v>5.545</v>
      </c>
      <c r="E614" s="10" t="n">
        <v>642</v>
      </c>
      <c r="F614" s="12" t="n">
        <v>68.8</v>
      </c>
      <c r="G614" s="12" t="n">
        <v>31</v>
      </c>
      <c r="H614" s="10" t="n">
        <v>25</v>
      </c>
      <c r="I614" s="10" t="n">
        <v>335</v>
      </c>
      <c r="J614" s="7" t="inlineStr">
        <is>
          <t>FL</t>
        </is>
      </c>
      <c r="K614" s="7" t="inlineStr">
        <is>
          <t>SFR</t>
        </is>
      </c>
      <c r="L614" s="7" t="inlineStr">
        <is>
          <t>Coastal Mortgage Co</t>
        </is>
      </c>
      <c r="M614" s="7" t="inlineStr">
        <is>
          <t>Northgate Servicing</t>
        </is>
      </c>
    </row>
    <row r="615">
      <c r="A615" s="5" t="inlineStr">
        <is>
          <t>L100610</t>
        </is>
      </c>
      <c r="B615" s="16" t="n">
        <v>169057.16</v>
      </c>
      <c r="C615" s="16" t="n">
        <v>166927.65</v>
      </c>
      <c r="D615" s="26" t="n">
        <v>8.369</v>
      </c>
      <c r="E615" s="6" t="n">
        <v>623</v>
      </c>
      <c r="F615" s="11" t="n">
        <v>75.2</v>
      </c>
      <c r="G615" s="11" t="n">
        <v>16</v>
      </c>
      <c r="H615" s="6" t="n">
        <v>19</v>
      </c>
      <c r="I615" s="6" t="n">
        <v>341</v>
      </c>
      <c r="J615" s="5" t="inlineStr">
        <is>
          <t>OH</t>
        </is>
      </c>
      <c r="K615" s="5" t="inlineStr">
        <is>
          <t>SFR</t>
        </is>
      </c>
      <c r="L615" s="5" t="inlineStr">
        <is>
          <t>Coastal Mortgage Co</t>
        </is>
      </c>
      <c r="M615" s="5" t="inlineStr">
        <is>
          <t>Summit Loan Servicing</t>
        </is>
      </c>
    </row>
    <row r="616">
      <c r="A616" s="7" t="inlineStr">
        <is>
          <t>L100611</t>
        </is>
      </c>
      <c r="B616" s="8" t="n">
        <v>263641.8</v>
      </c>
      <c r="C616" s="8" t="n">
        <v>250312.8</v>
      </c>
      <c r="D616" s="27" t="n">
        <v>5.947</v>
      </c>
      <c r="E616" s="10" t="n">
        <v>760</v>
      </c>
      <c r="F616" s="12" t="n">
        <v>97</v>
      </c>
      <c r="G616" s="12" t="n">
        <v>27.3</v>
      </c>
      <c r="H616" s="10" t="n">
        <v>45</v>
      </c>
      <c r="I616" s="10" t="n">
        <v>315</v>
      </c>
      <c r="J616" s="7" t="inlineStr">
        <is>
          <t>WA</t>
        </is>
      </c>
      <c r="K616" s="7" t="inlineStr">
        <is>
          <t>SFR</t>
        </is>
      </c>
      <c r="L616" s="7" t="inlineStr">
        <is>
          <t>Meridian Home Loans</t>
        </is>
      </c>
      <c r="M616" s="7" t="inlineStr">
        <is>
          <t>Pier Asset Mgmt</t>
        </is>
      </c>
    </row>
    <row r="617">
      <c r="A617" s="5" t="inlineStr">
        <is>
          <t>L100612</t>
        </is>
      </c>
      <c r="B617" s="16" t="n">
        <v>147516.15</v>
      </c>
      <c r="C617" s="16" t="n">
        <v>143579.7</v>
      </c>
      <c r="D617" s="26" t="n">
        <v>5.949</v>
      </c>
      <c r="E617" s="6" t="n">
        <v>682</v>
      </c>
      <c r="F617" s="11" t="n">
        <v>68.90000000000001</v>
      </c>
      <c r="G617" s="11" t="n">
        <v>35.5</v>
      </c>
      <c r="H617" s="6" t="n">
        <v>25</v>
      </c>
      <c r="I617" s="6" t="n">
        <v>335</v>
      </c>
      <c r="J617" s="5" t="inlineStr">
        <is>
          <t>CA</t>
        </is>
      </c>
      <c r="K617" s="5" t="inlineStr">
        <is>
          <t>SFR</t>
        </is>
      </c>
      <c r="L617" s="5" t="inlineStr">
        <is>
          <t>Highline Capital</t>
        </is>
      </c>
      <c r="M617" s="5" t="inlineStr">
        <is>
          <t>Pier Asset Mgmt</t>
        </is>
      </c>
    </row>
    <row r="618">
      <c r="A618" s="7" t="inlineStr">
        <is>
          <t>L100613</t>
        </is>
      </c>
      <c r="B618" s="8" t="n">
        <v>283853.28</v>
      </c>
      <c r="C618" s="8" t="n">
        <v>270142.16</v>
      </c>
      <c r="D618" s="27" t="n">
        <v>6.066</v>
      </c>
      <c r="E618" s="10" t="n">
        <v>693</v>
      </c>
      <c r="F618" s="12" t="n">
        <v>66</v>
      </c>
      <c r="G618" s="12" t="n">
        <v>36.5</v>
      </c>
      <c r="H618" s="10" t="n">
        <v>44</v>
      </c>
      <c r="I618" s="10" t="n">
        <v>316</v>
      </c>
      <c r="J618" s="7" t="inlineStr">
        <is>
          <t>TX</t>
        </is>
      </c>
      <c r="K618" s="7" t="inlineStr">
        <is>
          <t>SFR</t>
        </is>
      </c>
      <c r="L618" s="7" t="inlineStr">
        <is>
          <t>Highline Capital</t>
        </is>
      </c>
      <c r="M618" s="7" t="inlineStr">
        <is>
          <t>Pier Asset Mgmt</t>
        </is>
      </c>
    </row>
    <row r="619">
      <c r="A619" s="5" t="inlineStr">
        <is>
          <t>L100614</t>
        </is>
      </c>
      <c r="B619" s="16" t="n">
        <v>183082.18</v>
      </c>
      <c r="C619" s="16" t="n">
        <v>181030.38</v>
      </c>
      <c r="D619" s="26" t="n">
        <v>6.486</v>
      </c>
      <c r="E619" s="6" t="n">
        <v>613</v>
      </c>
      <c r="F619" s="11" t="n">
        <v>67.40000000000001</v>
      </c>
      <c r="G619" s="11" t="n">
        <v>49.5</v>
      </c>
      <c r="H619" s="6" t="n">
        <v>12</v>
      </c>
      <c r="I619" s="6" t="n">
        <v>348</v>
      </c>
      <c r="J619" s="5" t="inlineStr">
        <is>
          <t>OH</t>
        </is>
      </c>
      <c r="K619" s="5" t="inlineStr">
        <is>
          <t>SFR</t>
        </is>
      </c>
      <c r="L619" s="5" t="inlineStr">
        <is>
          <t>Apex Funding</t>
        </is>
      </c>
      <c r="M619" s="5" t="inlineStr">
        <is>
          <t>Summit Loan Servicing</t>
        </is>
      </c>
    </row>
    <row r="620">
      <c r="A620" s="7" t="inlineStr">
        <is>
          <t>L100615</t>
        </is>
      </c>
      <c r="B620" s="8" t="n">
        <v>154984.11</v>
      </c>
      <c r="C620" s="8" t="n">
        <v>142130.54</v>
      </c>
      <c r="D620" s="27" t="n">
        <v>6.104</v>
      </c>
      <c r="E620" s="10" t="n">
        <v>678</v>
      </c>
      <c r="F620" s="12" t="n">
        <v>93.90000000000001</v>
      </c>
      <c r="G620" s="12" t="n">
        <v>40.7</v>
      </c>
      <c r="H620" s="10" t="n">
        <v>23</v>
      </c>
      <c r="I620" s="10" t="n">
        <v>157</v>
      </c>
      <c r="J620" s="7" t="inlineStr">
        <is>
          <t>WA</t>
        </is>
      </c>
      <c r="K620" s="7" t="inlineStr">
        <is>
          <t>SFR</t>
        </is>
      </c>
      <c r="L620" s="7" t="inlineStr">
        <is>
          <t>Coastal Mortgage Co</t>
        </is>
      </c>
      <c r="M620" s="7" t="inlineStr">
        <is>
          <t>Summit Loan Servicing</t>
        </is>
      </c>
    </row>
    <row r="621">
      <c r="A621" s="5" t="inlineStr">
        <is>
          <t>L100616</t>
        </is>
      </c>
      <c r="B621" s="16" t="n">
        <v>311712.65</v>
      </c>
      <c r="C621" s="16" t="n">
        <v>266566.25</v>
      </c>
      <c r="D621" s="26" t="n">
        <v>6.28</v>
      </c>
      <c r="E621" s="6" t="n">
        <v>715</v>
      </c>
      <c r="F621" s="11" t="n">
        <v>40.3</v>
      </c>
      <c r="G621" s="11" t="n">
        <v>36.7</v>
      </c>
      <c r="H621" s="6" t="n">
        <v>39</v>
      </c>
      <c r="I621" s="6" t="n">
        <v>141</v>
      </c>
      <c r="J621" s="5" t="inlineStr">
        <is>
          <t>IL</t>
        </is>
      </c>
      <c r="K621" s="5" t="inlineStr">
        <is>
          <t>SFR</t>
        </is>
      </c>
      <c r="L621" s="5" t="inlineStr">
        <is>
          <t>Highline Capital</t>
        </is>
      </c>
      <c r="M621" s="5" t="inlineStr">
        <is>
          <t>Pier Asset Mgmt</t>
        </is>
      </c>
    </row>
    <row r="622">
      <c r="A622" s="7" t="inlineStr">
        <is>
          <t>L100617</t>
        </is>
      </c>
      <c r="B622" s="8" t="n">
        <v>264230.1</v>
      </c>
      <c r="C622" s="8" t="n">
        <v>260869.22</v>
      </c>
      <c r="D622" s="27" t="n">
        <v>3.5</v>
      </c>
      <c r="E622" s="10" t="n">
        <v>766</v>
      </c>
      <c r="F622" s="12" t="n">
        <v>62</v>
      </c>
      <c r="G622" s="12" t="n">
        <v>35.7</v>
      </c>
      <c r="H622" s="10" t="n">
        <v>8</v>
      </c>
      <c r="I622" s="10" t="n">
        <v>352</v>
      </c>
      <c r="J622" s="7" t="inlineStr">
        <is>
          <t>TX</t>
        </is>
      </c>
      <c r="K622" s="7" t="inlineStr">
        <is>
          <t>Condo</t>
        </is>
      </c>
      <c r="L622" s="7" t="inlineStr">
        <is>
          <t>Coastal Mortgage Co</t>
        </is>
      </c>
      <c r="M622" s="7" t="inlineStr">
        <is>
          <t>Summit Loan Servicing</t>
        </is>
      </c>
    </row>
    <row r="623">
      <c r="A623" s="5" t="inlineStr">
        <is>
          <t>L100618</t>
        </is>
      </c>
      <c r="B623" s="16" t="n">
        <v>195850.74</v>
      </c>
      <c r="C623" s="16" t="n">
        <v>187004.62</v>
      </c>
      <c r="D623" s="26" t="n">
        <v>6.451</v>
      </c>
      <c r="E623" s="6" t="n">
        <v>673</v>
      </c>
      <c r="F623" s="11" t="n">
        <v>97</v>
      </c>
      <c r="G623" s="11" t="n">
        <v>44.8</v>
      </c>
      <c r="H623" s="6" t="n">
        <v>44</v>
      </c>
      <c r="I623" s="6" t="n">
        <v>316</v>
      </c>
      <c r="J623" s="5" t="inlineStr">
        <is>
          <t>TX</t>
        </is>
      </c>
      <c r="K623" s="5" t="inlineStr">
        <is>
          <t>Condo</t>
        </is>
      </c>
      <c r="L623" s="5" t="inlineStr">
        <is>
          <t>Coastal Mortgage Co</t>
        </is>
      </c>
      <c r="M623" s="5" t="inlineStr">
        <is>
          <t>Northgate Servicing</t>
        </is>
      </c>
    </row>
    <row r="624">
      <c r="A624" s="7" t="inlineStr">
        <is>
          <t>L100619</t>
        </is>
      </c>
      <c r="B624" s="8" t="n">
        <v>403492.27</v>
      </c>
      <c r="C624" s="8" t="n">
        <v>388367.77</v>
      </c>
      <c r="D624" s="27" t="n">
        <v>6.416</v>
      </c>
      <c r="E624" s="10" t="n">
        <v>806</v>
      </c>
      <c r="F624" s="12" t="n">
        <v>81.09999999999999</v>
      </c>
      <c r="G624" s="12" t="n">
        <v>31.3</v>
      </c>
      <c r="H624" s="10" t="n">
        <v>37</v>
      </c>
      <c r="I624" s="10" t="n">
        <v>323</v>
      </c>
      <c r="J624" s="7" t="inlineStr">
        <is>
          <t>FL</t>
        </is>
      </c>
      <c r="K624" s="7" t="inlineStr">
        <is>
          <t>SFR</t>
        </is>
      </c>
      <c r="L624" s="7" t="inlineStr">
        <is>
          <t>Highline Capital</t>
        </is>
      </c>
      <c r="M624" s="7" t="inlineStr">
        <is>
          <t>Northgate Servicing</t>
        </is>
      </c>
    </row>
    <row r="625">
      <c r="A625" s="5" t="inlineStr">
        <is>
          <t>L100620</t>
        </is>
      </c>
      <c r="B625" s="16" t="n">
        <v>208099.51</v>
      </c>
      <c r="C625" s="16" t="n">
        <v>202476.99</v>
      </c>
      <c r="D625" s="26" t="n">
        <v>7.335</v>
      </c>
      <c r="E625" s="6" t="n">
        <v>677</v>
      </c>
      <c r="F625" s="11" t="n">
        <v>60.7</v>
      </c>
      <c r="G625" s="11" t="n">
        <v>34.9</v>
      </c>
      <c r="H625" s="6" t="n">
        <v>32</v>
      </c>
      <c r="I625" s="6" t="n">
        <v>328</v>
      </c>
      <c r="J625" s="5" t="inlineStr">
        <is>
          <t>NC</t>
        </is>
      </c>
      <c r="K625" s="5" t="inlineStr">
        <is>
          <t>2-4 Unit</t>
        </is>
      </c>
      <c r="L625" s="5" t="inlineStr">
        <is>
          <t>Coastal Mortgage Co</t>
        </is>
      </c>
      <c r="M625" s="5" t="inlineStr">
        <is>
          <t>Summit Loan Servicing</t>
        </is>
      </c>
    </row>
    <row r="626">
      <c r="A626" s="7" t="inlineStr">
        <is>
          <t>L100621</t>
        </is>
      </c>
      <c r="B626" s="8" t="n">
        <v>245545.53</v>
      </c>
      <c r="C626" s="8" t="n">
        <v>243316.32</v>
      </c>
      <c r="D626" s="27" t="n">
        <v>7.578</v>
      </c>
      <c r="E626" s="10" t="n">
        <v>677</v>
      </c>
      <c r="F626" s="12" t="n">
        <v>73.5</v>
      </c>
      <c r="G626" s="12" t="n">
        <v>27.3</v>
      </c>
      <c r="H626" s="10" t="n">
        <v>12</v>
      </c>
      <c r="I626" s="10" t="n">
        <v>348</v>
      </c>
      <c r="J626" s="7" t="inlineStr">
        <is>
          <t>CA</t>
        </is>
      </c>
      <c r="K626" s="7" t="inlineStr">
        <is>
          <t>SFR</t>
        </is>
      </c>
      <c r="L626" s="7" t="inlineStr">
        <is>
          <t>Highline Capital</t>
        </is>
      </c>
      <c r="M626" s="7" t="inlineStr">
        <is>
          <t>Northgate Servicing</t>
        </is>
      </c>
    </row>
    <row r="627">
      <c r="A627" s="5" t="inlineStr">
        <is>
          <t>L100622</t>
        </is>
      </c>
      <c r="B627" s="16" t="n">
        <v>266764.01</v>
      </c>
      <c r="C627" s="16" t="n">
        <v>255813.16</v>
      </c>
      <c r="D627" s="26" t="n">
        <v>6.231</v>
      </c>
      <c r="E627" s="6" t="n">
        <v>800</v>
      </c>
      <c r="F627" s="11" t="n">
        <v>74.8</v>
      </c>
      <c r="G627" s="11" t="n">
        <v>47.4</v>
      </c>
      <c r="H627" s="6" t="n">
        <v>39</v>
      </c>
      <c r="I627" s="6" t="n">
        <v>321</v>
      </c>
      <c r="J627" s="5" t="inlineStr">
        <is>
          <t>NC</t>
        </is>
      </c>
      <c r="K627" s="5" t="inlineStr">
        <is>
          <t>SFR</t>
        </is>
      </c>
      <c r="L627" s="5" t="inlineStr">
        <is>
          <t>Meridian Home Loans</t>
        </is>
      </c>
      <c r="M627" s="5" t="inlineStr">
        <is>
          <t>Summit Loan Servicing</t>
        </is>
      </c>
    </row>
    <row r="628">
      <c r="A628" s="7" t="inlineStr">
        <is>
          <t>L100623</t>
        </is>
      </c>
      <c r="B628" s="8" t="n">
        <v>195461.15</v>
      </c>
      <c r="C628" s="8" t="n">
        <v>188440.13</v>
      </c>
      <c r="D628" s="27" t="n">
        <v>7.135</v>
      </c>
      <c r="E628" s="10" t="n">
        <v>727</v>
      </c>
      <c r="F628" s="12" t="n">
        <v>84.2</v>
      </c>
      <c r="G628" s="12" t="n">
        <v>39.1</v>
      </c>
      <c r="H628" s="10" t="n">
        <v>40</v>
      </c>
      <c r="I628" s="10" t="n">
        <v>320</v>
      </c>
      <c r="J628" s="7" t="inlineStr">
        <is>
          <t>OH</t>
        </is>
      </c>
      <c r="K628" s="7" t="inlineStr">
        <is>
          <t>SFR</t>
        </is>
      </c>
      <c r="L628" s="7" t="inlineStr">
        <is>
          <t>Coastal Mortgage Co</t>
        </is>
      </c>
      <c r="M628" s="7" t="inlineStr">
        <is>
          <t>Summit Loan Servicing</t>
        </is>
      </c>
    </row>
    <row r="629">
      <c r="A629" s="5" t="inlineStr">
        <is>
          <t>L100624</t>
        </is>
      </c>
      <c r="B629" s="16" t="n">
        <v>286329.26</v>
      </c>
      <c r="C629" s="16" t="n">
        <v>281732.81</v>
      </c>
      <c r="D629" s="26" t="n">
        <v>5.409</v>
      </c>
      <c r="E629" s="6" t="n">
        <v>685</v>
      </c>
      <c r="F629" s="11" t="n">
        <v>96.09999999999999</v>
      </c>
      <c r="G629" s="11" t="n">
        <v>30.3</v>
      </c>
      <c r="H629" s="6" t="n">
        <v>14</v>
      </c>
      <c r="I629" s="6" t="n">
        <v>346</v>
      </c>
      <c r="J629" s="5" t="inlineStr">
        <is>
          <t>TX</t>
        </is>
      </c>
      <c r="K629" s="5" t="inlineStr">
        <is>
          <t>SFR</t>
        </is>
      </c>
      <c r="L629" s="5" t="inlineStr">
        <is>
          <t>Coastal Mortgage Co</t>
        </is>
      </c>
      <c r="M629" s="5" t="inlineStr">
        <is>
          <t>Northgate Servicing</t>
        </is>
      </c>
    </row>
    <row r="630">
      <c r="A630" s="7" t="inlineStr">
        <is>
          <t>L100625</t>
        </is>
      </c>
      <c r="B630" s="8" t="n">
        <v>201449.03</v>
      </c>
      <c r="C630" s="8" t="n">
        <v>196526.37</v>
      </c>
      <c r="D630" s="27" t="n">
        <v>7.091</v>
      </c>
      <c r="E630" s="10" t="n">
        <v>706</v>
      </c>
      <c r="F630" s="12" t="n">
        <v>78.7</v>
      </c>
      <c r="G630" s="12" t="n">
        <v>35.1</v>
      </c>
      <c r="H630" s="10" t="n">
        <v>28</v>
      </c>
      <c r="I630" s="10" t="n">
        <v>332</v>
      </c>
      <c r="J630" s="7" t="inlineStr">
        <is>
          <t>WA</t>
        </is>
      </c>
      <c r="K630" s="7" t="inlineStr">
        <is>
          <t>SFR</t>
        </is>
      </c>
      <c r="L630" s="7" t="inlineStr">
        <is>
          <t>Coastal Mortgage Co</t>
        </is>
      </c>
      <c r="M630" s="7" t="inlineStr">
        <is>
          <t>Summit Loan Servicing</t>
        </is>
      </c>
    </row>
    <row r="631">
      <c r="A631" s="5" t="inlineStr">
        <is>
          <t>L100626</t>
        </is>
      </c>
      <c r="B631" s="16" t="n">
        <v>210223.51</v>
      </c>
      <c r="C631" s="16" t="n">
        <v>209578.59</v>
      </c>
      <c r="D631" s="26" t="n">
        <v>5.885</v>
      </c>
      <c r="E631" s="6" t="n">
        <v>789</v>
      </c>
      <c r="F631" s="11" t="n">
        <v>67.5</v>
      </c>
      <c r="G631" s="11" t="n">
        <v>40.1</v>
      </c>
      <c r="H631" s="6" t="n">
        <v>3</v>
      </c>
      <c r="I631" s="6" t="n">
        <v>357</v>
      </c>
      <c r="J631" s="5" t="inlineStr">
        <is>
          <t>WA</t>
        </is>
      </c>
      <c r="K631" s="5" t="inlineStr">
        <is>
          <t>SFR</t>
        </is>
      </c>
      <c r="L631" s="5" t="inlineStr">
        <is>
          <t>Highline Capital</t>
        </is>
      </c>
      <c r="M631" s="5" t="inlineStr">
        <is>
          <t>Summit Loan Servicing</t>
        </is>
      </c>
    </row>
    <row r="632">
      <c r="A632" s="7" t="inlineStr">
        <is>
          <t>L100627</t>
        </is>
      </c>
      <c r="B632" s="8" t="n">
        <v>391180.72</v>
      </c>
      <c r="C632" s="8" t="n">
        <v>382443.81</v>
      </c>
      <c r="D632" s="27" t="n">
        <v>5.334</v>
      </c>
      <c r="E632" s="10" t="n">
        <v>796</v>
      </c>
      <c r="F632" s="12" t="n">
        <v>83.40000000000001</v>
      </c>
      <c r="G632" s="12" t="n">
        <v>34</v>
      </c>
      <c r="H632" s="10" t="n">
        <v>19</v>
      </c>
      <c r="I632" s="10" t="n">
        <v>341</v>
      </c>
      <c r="J632" s="7" t="inlineStr">
        <is>
          <t>FL</t>
        </is>
      </c>
      <c r="K632" s="7" t="inlineStr">
        <is>
          <t>Condo</t>
        </is>
      </c>
      <c r="L632" s="7" t="inlineStr">
        <is>
          <t>Coastal Mortgage Co</t>
        </is>
      </c>
      <c r="M632" s="7" t="inlineStr">
        <is>
          <t>Pier Asset Mgmt</t>
        </is>
      </c>
    </row>
    <row r="633">
      <c r="A633" s="5" t="inlineStr">
        <is>
          <t>L100628</t>
        </is>
      </c>
      <c r="B633" s="16" t="n">
        <v>168686.1</v>
      </c>
      <c r="C633" s="16" t="n">
        <v>167377.85</v>
      </c>
      <c r="D633" s="26" t="n">
        <v>6.233</v>
      </c>
      <c r="E633" s="6" t="n">
        <v>670</v>
      </c>
      <c r="F633" s="11" t="n">
        <v>65.59999999999999</v>
      </c>
      <c r="G633" s="11" t="n">
        <v>31.7</v>
      </c>
      <c r="H633" s="6" t="n">
        <v>8</v>
      </c>
      <c r="I633" s="6" t="n">
        <v>352</v>
      </c>
      <c r="J633" s="5" t="inlineStr">
        <is>
          <t>TX</t>
        </is>
      </c>
      <c r="K633" s="5" t="inlineStr">
        <is>
          <t>SFR</t>
        </is>
      </c>
      <c r="L633" s="5" t="inlineStr">
        <is>
          <t>Highline Capital</t>
        </is>
      </c>
      <c r="M633" s="5" t="inlineStr">
        <is>
          <t>Northgate Servicing</t>
        </is>
      </c>
    </row>
    <row r="634">
      <c r="A634" s="7" t="inlineStr">
        <is>
          <t>L100629</t>
        </is>
      </c>
      <c r="B634" s="8" t="n">
        <v>104352.19</v>
      </c>
      <c r="C634" s="8" t="n">
        <v>102149.93</v>
      </c>
      <c r="D634" s="27" t="n">
        <v>7.66</v>
      </c>
      <c r="E634" s="10" t="n">
        <v>713</v>
      </c>
      <c r="F634" s="12" t="n">
        <v>61.6</v>
      </c>
      <c r="G634" s="12" t="n">
        <v>30.8</v>
      </c>
      <c r="H634" s="10" t="n">
        <v>27</v>
      </c>
      <c r="I634" s="10" t="n">
        <v>333</v>
      </c>
      <c r="J634" s="7" t="inlineStr">
        <is>
          <t>NY</t>
        </is>
      </c>
      <c r="K634" s="7" t="inlineStr">
        <is>
          <t>SFR</t>
        </is>
      </c>
      <c r="L634" s="7" t="inlineStr">
        <is>
          <t>Meridian Home Loans</t>
        </is>
      </c>
      <c r="M634" s="7" t="inlineStr">
        <is>
          <t>Northgate Servicing</t>
        </is>
      </c>
    </row>
    <row r="635">
      <c r="A635" s="5" t="inlineStr">
        <is>
          <t>L100630</t>
        </is>
      </c>
      <c r="B635" s="16" t="n">
        <v>426696.36</v>
      </c>
      <c r="C635" s="16" t="n">
        <v>416081.42</v>
      </c>
      <c r="D635" s="26" t="n">
        <v>6.563</v>
      </c>
      <c r="E635" s="6" t="n">
        <v>720</v>
      </c>
      <c r="F635" s="11" t="n">
        <v>52.9</v>
      </c>
      <c r="G635" s="11" t="n">
        <v>38.7</v>
      </c>
      <c r="H635" s="6" t="n">
        <v>26</v>
      </c>
      <c r="I635" s="6" t="n">
        <v>334</v>
      </c>
      <c r="J635" s="5" t="inlineStr">
        <is>
          <t>FL</t>
        </is>
      </c>
      <c r="K635" s="5" t="inlineStr">
        <is>
          <t>SFR</t>
        </is>
      </c>
      <c r="L635" s="5" t="inlineStr">
        <is>
          <t>Coastal Mortgage Co</t>
        </is>
      </c>
      <c r="M635" s="5" t="inlineStr">
        <is>
          <t>Summit Loan Servicing</t>
        </is>
      </c>
    </row>
    <row r="636">
      <c r="A636" s="7" t="inlineStr">
        <is>
          <t>L100631</t>
        </is>
      </c>
      <c r="B636" s="8" t="n">
        <v>592594</v>
      </c>
      <c r="C636" s="8" t="n">
        <v>580787.86</v>
      </c>
      <c r="D636" s="27" t="n">
        <v>7.747</v>
      </c>
      <c r="E636" s="10" t="n">
        <v>661</v>
      </c>
      <c r="F636" s="12" t="n">
        <v>55.2</v>
      </c>
      <c r="G636" s="12" t="n">
        <v>33.1</v>
      </c>
      <c r="H636" s="10" t="n">
        <v>26</v>
      </c>
      <c r="I636" s="10" t="n">
        <v>334</v>
      </c>
      <c r="J636" s="7" t="inlineStr">
        <is>
          <t>FL</t>
        </is>
      </c>
      <c r="K636" s="7" t="inlineStr">
        <is>
          <t>SFR</t>
        </is>
      </c>
      <c r="L636" s="7" t="inlineStr">
        <is>
          <t>Coastal Mortgage Co</t>
        </is>
      </c>
      <c r="M636" s="7" t="inlineStr">
        <is>
          <t>Summit Loan Servicing</t>
        </is>
      </c>
    </row>
    <row r="637">
      <c r="A637" s="5" t="inlineStr">
        <is>
          <t>L100632</t>
        </is>
      </c>
      <c r="B637" s="16" t="n">
        <v>210692.66</v>
      </c>
      <c r="C637" s="16" t="n">
        <v>203072.46</v>
      </c>
      <c r="D637" s="26" t="n">
        <v>5.726</v>
      </c>
      <c r="E637" s="6" t="n">
        <v>712</v>
      </c>
      <c r="F637" s="11" t="n">
        <v>63.2</v>
      </c>
      <c r="G637" s="11" t="n">
        <v>32.4</v>
      </c>
      <c r="H637" s="6" t="n">
        <v>32</v>
      </c>
      <c r="I637" s="6" t="n">
        <v>328</v>
      </c>
      <c r="J637" s="5" t="inlineStr">
        <is>
          <t>WA</t>
        </is>
      </c>
      <c r="K637" s="5" t="inlineStr">
        <is>
          <t>SFR</t>
        </is>
      </c>
      <c r="L637" s="5" t="inlineStr">
        <is>
          <t>Apex Funding</t>
        </is>
      </c>
      <c r="M637" s="5" t="inlineStr">
        <is>
          <t>Northgate Servicing</t>
        </is>
      </c>
    </row>
    <row r="638">
      <c r="A638" s="7" t="inlineStr">
        <is>
          <t>L100633</t>
        </is>
      </c>
      <c r="B638" s="8" t="n">
        <v>123266.84</v>
      </c>
      <c r="C638" s="8" t="n">
        <v>118517.06</v>
      </c>
      <c r="D638" s="27" t="n">
        <v>7.343</v>
      </c>
      <c r="E638" s="10" t="n">
        <v>715</v>
      </c>
      <c r="F638" s="12" t="n">
        <v>59.9</v>
      </c>
      <c r="G638" s="12" t="n">
        <v>25.3</v>
      </c>
      <c r="H638" s="10" t="n">
        <v>44</v>
      </c>
      <c r="I638" s="10" t="n">
        <v>316</v>
      </c>
      <c r="J638" s="7" t="inlineStr">
        <is>
          <t>TX</t>
        </is>
      </c>
      <c r="K638" s="7" t="inlineStr">
        <is>
          <t>SFR</t>
        </is>
      </c>
      <c r="L638" s="7" t="inlineStr">
        <is>
          <t>Meridian Home Loans</t>
        </is>
      </c>
      <c r="M638" s="7" t="inlineStr">
        <is>
          <t>Northgate Servicing</t>
        </is>
      </c>
    </row>
    <row r="639">
      <c r="A639" s="5" t="inlineStr">
        <is>
          <t>L100634</t>
        </is>
      </c>
      <c r="B639" s="16" t="n">
        <v>217799.59</v>
      </c>
      <c r="C639" s="16" t="n">
        <v>215503.05</v>
      </c>
      <c r="D639" s="26" t="n">
        <v>5.813</v>
      </c>
      <c r="E639" s="6" t="n">
        <v>778</v>
      </c>
      <c r="F639" s="11" t="n">
        <v>77.8</v>
      </c>
      <c r="G639" s="11" t="n">
        <v>36.6</v>
      </c>
      <c r="H639" s="6" t="n">
        <v>10</v>
      </c>
      <c r="I639" s="6" t="n">
        <v>350</v>
      </c>
      <c r="J639" s="5" t="inlineStr">
        <is>
          <t>NY</t>
        </is>
      </c>
      <c r="K639" s="5" t="inlineStr">
        <is>
          <t>SFR</t>
        </is>
      </c>
      <c r="L639" s="5" t="inlineStr">
        <is>
          <t>Coastal Mortgage Co</t>
        </is>
      </c>
      <c r="M639" s="5" t="inlineStr">
        <is>
          <t>Northgate Servicing</t>
        </is>
      </c>
    </row>
    <row r="640">
      <c r="A640" s="7" t="inlineStr">
        <is>
          <t>L100635</t>
        </is>
      </c>
      <c r="B640" s="8" t="n">
        <v>219656.88</v>
      </c>
      <c r="C640" s="8" t="n">
        <v>217456.05</v>
      </c>
      <c r="D640" s="27" t="n">
        <v>6.603</v>
      </c>
      <c r="E640" s="10" t="n">
        <v>781</v>
      </c>
      <c r="F640" s="12" t="n">
        <v>59.6</v>
      </c>
      <c r="G640" s="12" t="n">
        <v>34.6</v>
      </c>
      <c r="H640" s="10" t="n">
        <v>11</v>
      </c>
      <c r="I640" s="10" t="n">
        <v>349</v>
      </c>
      <c r="J640" s="7" t="inlineStr">
        <is>
          <t>AZ</t>
        </is>
      </c>
      <c r="K640" s="7" t="inlineStr">
        <is>
          <t>SFR</t>
        </is>
      </c>
      <c r="L640" s="7" t="inlineStr">
        <is>
          <t>Apex Funding</t>
        </is>
      </c>
      <c r="M640" s="7" t="inlineStr">
        <is>
          <t>Summit Loan Servicing</t>
        </is>
      </c>
    </row>
    <row r="641">
      <c r="A641" s="5" t="inlineStr">
        <is>
          <t>L100636</t>
        </is>
      </c>
      <c r="B641" s="16" t="n">
        <v>227186.53</v>
      </c>
      <c r="C641" s="16" t="n">
        <v>218792.62</v>
      </c>
      <c r="D641" s="26" t="n">
        <v>6.595</v>
      </c>
      <c r="E641" s="6" t="n">
        <v>697</v>
      </c>
      <c r="F641" s="11" t="n">
        <v>36.3</v>
      </c>
      <c r="G641" s="11" t="n">
        <v>33.4</v>
      </c>
      <c r="H641" s="6" t="n">
        <v>11</v>
      </c>
      <c r="I641" s="6" t="n">
        <v>169</v>
      </c>
      <c r="J641" s="5" t="inlineStr">
        <is>
          <t>CA</t>
        </is>
      </c>
      <c r="K641" s="5" t="inlineStr">
        <is>
          <t>SFR</t>
        </is>
      </c>
      <c r="L641" s="5" t="inlineStr">
        <is>
          <t>Coastal Mortgage Co</t>
        </is>
      </c>
      <c r="M641" s="5" t="inlineStr">
        <is>
          <t>Pier Asset Mgmt</t>
        </is>
      </c>
    </row>
    <row r="642">
      <c r="A642" s="7" t="inlineStr">
        <is>
          <t>L100637</t>
        </is>
      </c>
      <c r="B642" s="8" t="n">
        <v>164442.16</v>
      </c>
      <c r="C642" s="8" t="n">
        <v>157696.91</v>
      </c>
      <c r="D642" s="27" t="n">
        <v>6.995</v>
      </c>
      <c r="E642" s="10" t="n">
        <v>703</v>
      </c>
      <c r="F642" s="12" t="n">
        <v>61.5</v>
      </c>
      <c r="G642" s="12" t="n">
        <v>37.6</v>
      </c>
      <c r="H642" s="10" t="n">
        <v>44</v>
      </c>
      <c r="I642" s="10" t="n">
        <v>316</v>
      </c>
      <c r="J642" s="7" t="inlineStr">
        <is>
          <t>CA</t>
        </is>
      </c>
      <c r="K642" s="7" t="inlineStr">
        <is>
          <t>Multifamily</t>
        </is>
      </c>
      <c r="L642" s="7" t="inlineStr">
        <is>
          <t>Highline Capital</t>
        </is>
      </c>
      <c r="M642" s="7" t="inlineStr">
        <is>
          <t>Northgate Servicing</t>
        </is>
      </c>
    </row>
    <row r="643">
      <c r="A643" s="5" t="inlineStr">
        <is>
          <t>L100638</t>
        </is>
      </c>
      <c r="B643" s="16" t="n">
        <v>297403.89</v>
      </c>
      <c r="C643" s="16" t="n">
        <v>296077.62</v>
      </c>
      <c r="D643" s="26" t="n">
        <v>6.626</v>
      </c>
      <c r="E643" s="6" t="n">
        <v>752</v>
      </c>
      <c r="F643" s="11" t="n">
        <v>68.3</v>
      </c>
      <c r="G643" s="11" t="n">
        <v>42</v>
      </c>
      <c r="H643" s="6" t="n">
        <v>5</v>
      </c>
      <c r="I643" s="6" t="n">
        <v>355</v>
      </c>
      <c r="J643" s="5" t="inlineStr">
        <is>
          <t>NY</t>
        </is>
      </c>
      <c r="K643" s="5" t="inlineStr">
        <is>
          <t>2-4 Unit</t>
        </is>
      </c>
      <c r="L643" s="5" t="inlineStr">
        <is>
          <t>Coastal Mortgage Co</t>
        </is>
      </c>
      <c r="M643" s="5" t="inlineStr">
        <is>
          <t>Pier Asset Mgmt</t>
        </is>
      </c>
    </row>
    <row r="644">
      <c r="A644" s="7" t="inlineStr">
        <is>
          <t>L100639</t>
        </is>
      </c>
      <c r="B644" s="8" t="n">
        <v>291728.13</v>
      </c>
      <c r="C644" s="8" t="n">
        <v>289671.27</v>
      </c>
      <c r="D644" s="27" t="n">
        <v>5.735</v>
      </c>
      <c r="E644" s="10" t="n">
        <v>683</v>
      </c>
      <c r="F644" s="12" t="n">
        <v>66.7</v>
      </c>
      <c r="G644" s="12" t="n">
        <v>41.6</v>
      </c>
      <c r="H644" s="10" t="n">
        <v>2</v>
      </c>
      <c r="I644" s="10" t="n">
        <v>178</v>
      </c>
      <c r="J644" s="7" t="inlineStr">
        <is>
          <t>WA</t>
        </is>
      </c>
      <c r="K644" s="7" t="inlineStr">
        <is>
          <t>SFR</t>
        </is>
      </c>
      <c r="L644" s="7" t="inlineStr">
        <is>
          <t>Highline Capital</t>
        </is>
      </c>
      <c r="M644" s="7" t="inlineStr">
        <is>
          <t>Northgate Servicing</t>
        </is>
      </c>
    </row>
    <row r="645">
      <c r="A645" s="5" t="inlineStr">
        <is>
          <t>L100640</t>
        </is>
      </c>
      <c r="B645" s="16" t="n">
        <v>143912.11</v>
      </c>
      <c r="C645" s="16" t="n">
        <v>142984.29</v>
      </c>
      <c r="D645" s="26" t="n">
        <v>7.192</v>
      </c>
      <c r="E645" s="6" t="n">
        <v>747</v>
      </c>
      <c r="F645" s="11" t="n">
        <v>92.2</v>
      </c>
      <c r="G645" s="11" t="n">
        <v>40.4</v>
      </c>
      <c r="H645" s="6" t="n">
        <v>8</v>
      </c>
      <c r="I645" s="6" t="n">
        <v>352</v>
      </c>
      <c r="J645" s="5" t="inlineStr">
        <is>
          <t>OH</t>
        </is>
      </c>
      <c r="K645" s="5" t="inlineStr">
        <is>
          <t>SFR</t>
        </is>
      </c>
      <c r="L645" s="5" t="inlineStr">
        <is>
          <t>Meridian Home Loans</t>
        </is>
      </c>
      <c r="M645" s="5" t="inlineStr">
        <is>
          <t>Northgate Servicing</t>
        </is>
      </c>
    </row>
    <row r="646">
      <c r="A646" s="7" t="inlineStr">
        <is>
          <t>L100641</t>
        </is>
      </c>
      <c r="B646" s="8" t="n">
        <v>310121.32</v>
      </c>
      <c r="C646" s="8" t="n">
        <v>301353.44</v>
      </c>
      <c r="D646" s="27" t="n">
        <v>7.958</v>
      </c>
      <c r="E646" s="10" t="n">
        <v>710</v>
      </c>
      <c r="F646" s="12" t="n">
        <v>66.59999999999999</v>
      </c>
      <c r="G646" s="12" t="n">
        <v>34.1</v>
      </c>
      <c r="H646" s="10" t="n">
        <v>37</v>
      </c>
      <c r="I646" s="10" t="n">
        <v>323</v>
      </c>
      <c r="J646" s="7" t="inlineStr">
        <is>
          <t>WA</t>
        </is>
      </c>
      <c r="K646" s="7" t="inlineStr">
        <is>
          <t>Condo</t>
        </is>
      </c>
      <c r="L646" s="7" t="inlineStr">
        <is>
          <t>Highline Capital</t>
        </is>
      </c>
      <c r="M646" s="7" t="inlineStr">
        <is>
          <t>Summit Loan Servicing</t>
        </is>
      </c>
    </row>
    <row r="647">
      <c r="A647" s="5" t="inlineStr">
        <is>
          <t>L100642</t>
        </is>
      </c>
      <c r="B647" s="16" t="n">
        <v>498042.03</v>
      </c>
      <c r="C647" s="16" t="n">
        <v>482843.48</v>
      </c>
      <c r="D647" s="26" t="n">
        <v>5.875</v>
      </c>
      <c r="E647" s="6" t="n">
        <v>662</v>
      </c>
      <c r="F647" s="11" t="n">
        <v>84.59999999999999</v>
      </c>
      <c r="G647" s="11" t="n">
        <v>31.5</v>
      </c>
      <c r="H647" s="6" t="n">
        <v>28</v>
      </c>
      <c r="I647" s="6" t="n">
        <v>332</v>
      </c>
      <c r="J647" s="5" t="inlineStr">
        <is>
          <t>OH</t>
        </is>
      </c>
      <c r="K647" s="5" t="inlineStr">
        <is>
          <t>Multifamily</t>
        </is>
      </c>
      <c r="L647" s="5" t="inlineStr">
        <is>
          <t>Coastal Mortgage Co</t>
        </is>
      </c>
      <c r="M647" s="5" t="inlineStr">
        <is>
          <t>Pier Asset Mgmt</t>
        </is>
      </c>
    </row>
    <row r="648">
      <c r="A648" s="7" t="inlineStr">
        <is>
          <t>L100643</t>
        </is>
      </c>
      <c r="B648" s="8" t="n">
        <v>257863.62</v>
      </c>
      <c r="C648" s="8" t="n">
        <v>210614.43</v>
      </c>
      <c r="D648" s="27" t="n">
        <v>4.748</v>
      </c>
      <c r="E648" s="10" t="n">
        <v>662</v>
      </c>
      <c r="F648" s="12" t="n">
        <v>73.8</v>
      </c>
      <c r="G648" s="12" t="n">
        <v>27.6</v>
      </c>
      <c r="H648" s="10" t="n">
        <v>44</v>
      </c>
      <c r="I648" s="10" t="n">
        <v>136</v>
      </c>
      <c r="J648" s="7" t="inlineStr">
        <is>
          <t>TX</t>
        </is>
      </c>
      <c r="K648" s="7" t="inlineStr">
        <is>
          <t>SFR</t>
        </is>
      </c>
      <c r="L648" s="7" t="inlineStr">
        <is>
          <t>Meridian Home Loans</t>
        </is>
      </c>
      <c r="M648" s="7" t="inlineStr">
        <is>
          <t>Summit Loan Servicing</t>
        </is>
      </c>
    </row>
    <row r="649">
      <c r="A649" s="5" t="inlineStr">
        <is>
          <t>L100644</t>
        </is>
      </c>
      <c r="B649" s="16" t="n">
        <v>215763.07</v>
      </c>
      <c r="C649" s="16" t="n">
        <v>208686.18</v>
      </c>
      <c r="D649" s="26" t="n">
        <v>6.849</v>
      </c>
      <c r="E649" s="6" t="n">
        <v>795</v>
      </c>
      <c r="F649" s="11" t="n">
        <v>73.5</v>
      </c>
      <c r="G649" s="11" t="n">
        <v>31.3</v>
      </c>
      <c r="H649" s="6" t="n">
        <v>10</v>
      </c>
      <c r="I649" s="6" t="n">
        <v>170</v>
      </c>
      <c r="J649" s="5" t="inlineStr">
        <is>
          <t>IL</t>
        </is>
      </c>
      <c r="K649" s="5" t="inlineStr">
        <is>
          <t>SFR</t>
        </is>
      </c>
      <c r="L649" s="5" t="inlineStr">
        <is>
          <t>Apex Funding</t>
        </is>
      </c>
      <c r="M649" s="5" t="inlineStr">
        <is>
          <t>Pier Asset Mgmt</t>
        </is>
      </c>
    </row>
    <row r="650">
      <c r="A650" s="7" t="inlineStr">
        <is>
          <t>L100645</t>
        </is>
      </c>
      <c r="B650" s="8" t="n">
        <v>231029.08</v>
      </c>
      <c r="C650" s="8" t="n">
        <v>226541.94</v>
      </c>
      <c r="D650" s="27" t="n">
        <v>6.102</v>
      </c>
      <c r="E650" s="10" t="n">
        <v>706</v>
      </c>
      <c r="F650" s="12" t="n">
        <v>64</v>
      </c>
      <c r="G650" s="12" t="n">
        <v>36.2</v>
      </c>
      <c r="H650" s="10" t="n">
        <v>19</v>
      </c>
      <c r="I650" s="10" t="n">
        <v>341</v>
      </c>
      <c r="J650" s="7" t="inlineStr">
        <is>
          <t>GA</t>
        </is>
      </c>
      <c r="K650" s="7" t="inlineStr">
        <is>
          <t>Condo</t>
        </is>
      </c>
      <c r="L650" s="7" t="inlineStr">
        <is>
          <t>Meridian Home Loans</t>
        </is>
      </c>
      <c r="M650" s="7" t="inlineStr">
        <is>
          <t>Pier Asset Mgmt</t>
        </is>
      </c>
    </row>
    <row r="651">
      <c r="A651" s="5" t="inlineStr">
        <is>
          <t>L100646</t>
        </is>
      </c>
      <c r="B651" s="16" t="n">
        <v>301142.81</v>
      </c>
      <c r="C651" s="16" t="n">
        <v>292930.11</v>
      </c>
      <c r="D651" s="26" t="n">
        <v>6.282</v>
      </c>
      <c r="E651" s="6" t="n">
        <v>805</v>
      </c>
      <c r="F651" s="11" t="n">
        <v>73.3</v>
      </c>
      <c r="G651" s="11" t="n">
        <v>29.7</v>
      </c>
      <c r="H651" s="6" t="n">
        <v>27</v>
      </c>
      <c r="I651" s="6" t="n">
        <v>333</v>
      </c>
      <c r="J651" s="5" t="inlineStr">
        <is>
          <t>TX</t>
        </is>
      </c>
      <c r="K651" s="5" t="inlineStr">
        <is>
          <t>SFR</t>
        </is>
      </c>
      <c r="L651" s="5" t="inlineStr">
        <is>
          <t>Meridian Home Loans</t>
        </is>
      </c>
      <c r="M651" s="5" t="inlineStr">
        <is>
          <t>Northgate Servicing</t>
        </is>
      </c>
    </row>
    <row r="652">
      <c r="A652" s="7" t="inlineStr">
        <is>
          <t>L100647</t>
        </is>
      </c>
      <c r="B652" s="8" t="n">
        <v>132490.33</v>
      </c>
      <c r="C652" s="8" t="n">
        <v>132043.53</v>
      </c>
      <c r="D652" s="27" t="n">
        <v>6.901</v>
      </c>
      <c r="E652" s="10" t="n">
        <v>687</v>
      </c>
      <c r="F652" s="12" t="n">
        <v>64.8</v>
      </c>
      <c r="G652" s="12" t="n">
        <v>36.8</v>
      </c>
      <c r="H652" s="10" t="n">
        <v>4</v>
      </c>
      <c r="I652" s="10" t="n">
        <v>356</v>
      </c>
      <c r="J652" s="7" t="inlineStr">
        <is>
          <t>WA</t>
        </is>
      </c>
      <c r="K652" s="7" t="inlineStr">
        <is>
          <t>Condo</t>
        </is>
      </c>
      <c r="L652" s="7" t="inlineStr">
        <is>
          <t>Apex Funding</t>
        </is>
      </c>
      <c r="M652" s="7" t="inlineStr">
        <is>
          <t>Pier Asset Mgmt</t>
        </is>
      </c>
    </row>
    <row r="653">
      <c r="A653" s="5" t="inlineStr">
        <is>
          <t>L100648</t>
        </is>
      </c>
      <c r="B653" s="16" t="n">
        <v>257181.35</v>
      </c>
      <c r="C653" s="16" t="n">
        <v>244592.04</v>
      </c>
      <c r="D653" s="26" t="n">
        <v>5.989</v>
      </c>
      <c r="E653" s="6" t="n">
        <v>731</v>
      </c>
      <c r="F653" s="11" t="n">
        <v>76</v>
      </c>
      <c r="G653" s="11" t="n">
        <v>28.3</v>
      </c>
      <c r="H653" s="6" t="n">
        <v>44</v>
      </c>
      <c r="I653" s="6" t="n">
        <v>316</v>
      </c>
      <c r="J653" s="5" t="inlineStr">
        <is>
          <t>NC</t>
        </is>
      </c>
      <c r="K653" s="5" t="inlineStr">
        <is>
          <t>SFR</t>
        </is>
      </c>
      <c r="L653" s="5" t="inlineStr">
        <is>
          <t>Highline Capital</t>
        </is>
      </c>
      <c r="M653" s="5" t="inlineStr">
        <is>
          <t>Pier Asset Mgmt</t>
        </is>
      </c>
    </row>
    <row r="654">
      <c r="A654" s="7" t="inlineStr">
        <is>
          <t>L100649</t>
        </is>
      </c>
      <c r="B654" s="8" t="n">
        <v>211787.27</v>
      </c>
      <c r="C654" s="8" t="n">
        <v>203229.18</v>
      </c>
      <c r="D654" s="27" t="n">
        <v>6.158</v>
      </c>
      <c r="E654" s="10" t="n">
        <v>820</v>
      </c>
      <c r="F654" s="12" t="n">
        <v>71.2</v>
      </c>
      <c r="G654" s="12" t="n">
        <v>22.7</v>
      </c>
      <c r="H654" s="10" t="n">
        <v>38</v>
      </c>
      <c r="I654" s="10" t="n">
        <v>322</v>
      </c>
      <c r="J654" s="7" t="inlineStr">
        <is>
          <t>OH</t>
        </is>
      </c>
      <c r="K654" s="7" t="inlineStr">
        <is>
          <t>SFR</t>
        </is>
      </c>
      <c r="L654" s="7" t="inlineStr">
        <is>
          <t>Coastal Mortgage Co</t>
        </is>
      </c>
      <c r="M654" s="7" t="inlineStr">
        <is>
          <t>Summit Loan Servicing</t>
        </is>
      </c>
    </row>
    <row r="655">
      <c r="A655" s="5" t="inlineStr">
        <is>
          <t>L100650</t>
        </is>
      </c>
      <c r="B655" s="16" t="n">
        <v>463582.09</v>
      </c>
      <c r="C655" s="16" t="n">
        <v>460490.05</v>
      </c>
      <c r="D655" s="26" t="n">
        <v>6.31</v>
      </c>
      <c r="E655" s="6" t="n">
        <v>657</v>
      </c>
      <c r="F655" s="11" t="n">
        <v>62.7</v>
      </c>
      <c r="G655" s="11" t="n">
        <v>42.6</v>
      </c>
      <c r="H655" s="6" t="n">
        <v>7</v>
      </c>
      <c r="I655" s="6" t="n">
        <v>353</v>
      </c>
      <c r="J655" s="5" t="inlineStr">
        <is>
          <t>FL</t>
        </is>
      </c>
      <c r="K655" s="5" t="inlineStr">
        <is>
          <t>Condo</t>
        </is>
      </c>
      <c r="L655" s="5" t="inlineStr">
        <is>
          <t>Apex Funding</t>
        </is>
      </c>
      <c r="M655" s="5" t="inlineStr">
        <is>
          <t>Summit Loan Servicing</t>
        </is>
      </c>
    </row>
    <row r="656">
      <c r="A656" s="7" t="inlineStr">
        <is>
          <t>L100651</t>
        </is>
      </c>
      <c r="B656" s="8" t="n">
        <v>228442.44</v>
      </c>
      <c r="C656" s="8" t="n">
        <v>221073.69</v>
      </c>
      <c r="D656" s="27" t="n">
        <v>7.723</v>
      </c>
      <c r="E656" s="10" t="n">
        <v>611</v>
      </c>
      <c r="F656" s="12" t="n">
        <v>85.90000000000001</v>
      </c>
      <c r="G656" s="12" t="n">
        <v>32.2</v>
      </c>
      <c r="H656" s="10" t="n">
        <v>40</v>
      </c>
      <c r="I656" s="10" t="n">
        <v>320</v>
      </c>
      <c r="J656" s="7" t="inlineStr">
        <is>
          <t>AZ</t>
        </is>
      </c>
      <c r="K656" s="7" t="inlineStr">
        <is>
          <t>Condo</t>
        </is>
      </c>
      <c r="L656" s="7" t="inlineStr">
        <is>
          <t>Meridian Home Loans</t>
        </is>
      </c>
      <c r="M656" s="7" t="inlineStr">
        <is>
          <t>Northgate Servicing</t>
        </is>
      </c>
    </row>
    <row r="657">
      <c r="A657" s="5" t="inlineStr">
        <is>
          <t>L100652</t>
        </is>
      </c>
      <c r="B657" s="16" t="n">
        <v>435286.91</v>
      </c>
      <c r="C657" s="16" t="n">
        <v>425994.37</v>
      </c>
      <c r="D657" s="26" t="n">
        <v>6.427</v>
      </c>
      <c r="E657" s="6" t="n">
        <v>786</v>
      </c>
      <c r="F657" s="11" t="n">
        <v>79.09999999999999</v>
      </c>
      <c r="G657" s="11" t="n">
        <v>29.3</v>
      </c>
      <c r="H657" s="6" t="n">
        <v>22</v>
      </c>
      <c r="I657" s="6" t="n">
        <v>338</v>
      </c>
      <c r="J657" s="5" t="inlineStr">
        <is>
          <t>TX</t>
        </is>
      </c>
      <c r="K657" s="5" t="inlineStr">
        <is>
          <t>SFR</t>
        </is>
      </c>
      <c r="L657" s="5" t="inlineStr">
        <is>
          <t>Meridian Home Loans</t>
        </is>
      </c>
      <c r="M657" s="5" t="inlineStr">
        <is>
          <t>Pier Asset Mgmt</t>
        </is>
      </c>
    </row>
    <row r="658">
      <c r="A658" s="7" t="inlineStr">
        <is>
          <t>L100653</t>
        </is>
      </c>
      <c r="B658" s="8" t="n">
        <v>164998.35</v>
      </c>
      <c r="C658" s="8" t="n">
        <v>155031.59</v>
      </c>
      <c r="D658" s="27" t="n">
        <v>5.288</v>
      </c>
      <c r="E658" s="10" t="n">
        <v>670</v>
      </c>
      <c r="F658" s="12" t="n">
        <v>68.59999999999999</v>
      </c>
      <c r="G658" s="12" t="n">
        <v>27.2</v>
      </c>
      <c r="H658" s="10" t="n">
        <v>16</v>
      </c>
      <c r="I658" s="10" t="n">
        <v>164</v>
      </c>
      <c r="J658" s="7" t="inlineStr">
        <is>
          <t>CA</t>
        </is>
      </c>
      <c r="K658" s="7" t="inlineStr">
        <is>
          <t>2-4 Unit</t>
        </is>
      </c>
      <c r="L658" s="7" t="inlineStr">
        <is>
          <t>Highline Capital</t>
        </is>
      </c>
      <c r="M658" s="7" t="inlineStr">
        <is>
          <t>Summit Loan Servicing</t>
        </is>
      </c>
    </row>
    <row r="659">
      <c r="A659" s="5" t="inlineStr">
        <is>
          <t>L100654</t>
        </is>
      </c>
      <c r="B659" s="16" t="n">
        <v>298206.27</v>
      </c>
      <c r="C659" s="16" t="n">
        <v>281444.56</v>
      </c>
      <c r="D659" s="26" t="n">
        <v>5.324</v>
      </c>
      <c r="E659" s="6" t="n">
        <v>714</v>
      </c>
      <c r="F659" s="11" t="n">
        <v>75.7</v>
      </c>
      <c r="G659" s="11" t="n">
        <v>39.4</v>
      </c>
      <c r="H659" s="6" t="n">
        <v>45</v>
      </c>
      <c r="I659" s="6" t="n">
        <v>315</v>
      </c>
      <c r="J659" s="5" t="inlineStr">
        <is>
          <t>NC</t>
        </is>
      </c>
      <c r="K659" s="5" t="inlineStr">
        <is>
          <t>2-4 Unit</t>
        </is>
      </c>
      <c r="L659" s="5" t="inlineStr">
        <is>
          <t>Meridian Home Loans</t>
        </is>
      </c>
      <c r="M659" s="5" t="inlineStr">
        <is>
          <t>Pier Asset Mgmt</t>
        </is>
      </c>
    </row>
    <row r="660">
      <c r="A660" s="7" t="inlineStr">
        <is>
          <t>L100655</t>
        </is>
      </c>
      <c r="B660" s="8" t="n">
        <v>271519.73</v>
      </c>
      <c r="C660" s="8" t="n">
        <v>247686.84</v>
      </c>
      <c r="D660" s="27" t="n">
        <v>6.525</v>
      </c>
      <c r="E660" s="10" t="n">
        <v>683</v>
      </c>
      <c r="F660" s="12" t="n">
        <v>73</v>
      </c>
      <c r="G660" s="12" t="n">
        <v>47</v>
      </c>
      <c r="H660" s="10" t="n">
        <v>25</v>
      </c>
      <c r="I660" s="10" t="n">
        <v>155</v>
      </c>
      <c r="J660" s="7" t="inlineStr">
        <is>
          <t>CA</t>
        </is>
      </c>
      <c r="K660" s="7" t="inlineStr">
        <is>
          <t>SFR</t>
        </is>
      </c>
      <c r="L660" s="7" t="inlineStr">
        <is>
          <t>Coastal Mortgage Co</t>
        </is>
      </c>
      <c r="M660" s="7" t="inlineStr">
        <is>
          <t>Pier Asset Mgmt</t>
        </is>
      </c>
    </row>
    <row r="661">
      <c r="A661" s="5" t="inlineStr">
        <is>
          <t>L100656</t>
        </is>
      </c>
      <c r="B661" s="16" t="n">
        <v>179123.98</v>
      </c>
      <c r="C661" s="16" t="n">
        <v>176869.7</v>
      </c>
      <c r="D661" s="26" t="n">
        <v>5.384</v>
      </c>
      <c r="E661" s="6" t="n">
        <v>730</v>
      </c>
      <c r="F661" s="11" t="n">
        <v>63.6</v>
      </c>
      <c r="G661" s="11" t="n">
        <v>32.8</v>
      </c>
      <c r="H661" s="6" t="n">
        <v>11</v>
      </c>
      <c r="I661" s="6" t="n">
        <v>349</v>
      </c>
      <c r="J661" s="5" t="inlineStr">
        <is>
          <t>FL</t>
        </is>
      </c>
      <c r="K661" s="5" t="inlineStr">
        <is>
          <t>Multifamily</t>
        </is>
      </c>
      <c r="L661" s="5" t="inlineStr">
        <is>
          <t>Apex Funding</t>
        </is>
      </c>
      <c r="M661" s="5" t="inlineStr">
        <is>
          <t>Summit Loan Servicing</t>
        </is>
      </c>
    </row>
    <row r="662">
      <c r="A662" s="7" t="inlineStr">
        <is>
          <t>L100657</t>
        </is>
      </c>
      <c r="B662" s="8" t="n">
        <v>258354.68</v>
      </c>
      <c r="C662" s="8" t="n">
        <v>245225.19</v>
      </c>
      <c r="D662" s="27" t="n">
        <v>4.994</v>
      </c>
      <c r="E662" s="10" t="n">
        <v>663</v>
      </c>
      <c r="F662" s="12" t="n">
        <v>74.8</v>
      </c>
      <c r="G662" s="12" t="n">
        <v>34.3</v>
      </c>
      <c r="H662" s="10" t="n">
        <v>39</v>
      </c>
      <c r="I662" s="10" t="n">
        <v>321</v>
      </c>
      <c r="J662" s="7" t="inlineStr">
        <is>
          <t>AZ</t>
        </is>
      </c>
      <c r="K662" s="7" t="inlineStr">
        <is>
          <t>SFR</t>
        </is>
      </c>
      <c r="L662" s="7" t="inlineStr">
        <is>
          <t>Meridian Home Loans</t>
        </is>
      </c>
      <c r="M662" s="7" t="inlineStr">
        <is>
          <t>Pier Asset Mgmt</t>
        </is>
      </c>
    </row>
    <row r="663">
      <c r="A663" s="5" t="inlineStr">
        <is>
          <t>L100658</t>
        </is>
      </c>
      <c r="B663" s="16" t="n">
        <v>371157.43</v>
      </c>
      <c r="C663" s="16" t="n">
        <v>359694.38</v>
      </c>
      <c r="D663" s="26" t="n">
        <v>6.972</v>
      </c>
      <c r="E663" s="6" t="n">
        <v>705</v>
      </c>
      <c r="F663" s="11" t="n">
        <v>66.5</v>
      </c>
      <c r="G663" s="11" t="n">
        <v>44.6</v>
      </c>
      <c r="H663" s="6" t="n">
        <v>34</v>
      </c>
      <c r="I663" s="6" t="n">
        <v>326</v>
      </c>
      <c r="J663" s="5" t="inlineStr">
        <is>
          <t>IL</t>
        </is>
      </c>
      <c r="K663" s="5" t="inlineStr">
        <is>
          <t>SFR</t>
        </is>
      </c>
      <c r="L663" s="5" t="inlineStr">
        <is>
          <t>Highline Capital</t>
        </is>
      </c>
      <c r="M663" s="5" t="inlineStr">
        <is>
          <t>Northgate Servicing</t>
        </is>
      </c>
    </row>
    <row r="664">
      <c r="A664" s="7" t="inlineStr">
        <is>
          <t>L100659</t>
        </is>
      </c>
      <c r="B664" s="8" t="n">
        <v>216787.5</v>
      </c>
      <c r="C664" s="8" t="n">
        <v>214968.78</v>
      </c>
      <c r="D664" s="27" t="n">
        <v>7.016</v>
      </c>
      <c r="E664" s="10" t="n">
        <v>740</v>
      </c>
      <c r="F664" s="12" t="n">
        <v>62.7</v>
      </c>
      <c r="G664" s="12" t="n">
        <v>21.5</v>
      </c>
      <c r="H664" s="10" t="n">
        <v>10</v>
      </c>
      <c r="I664" s="10" t="n">
        <v>350</v>
      </c>
      <c r="J664" s="7" t="inlineStr">
        <is>
          <t>NY</t>
        </is>
      </c>
      <c r="K664" s="7" t="inlineStr">
        <is>
          <t>2-4 Unit</t>
        </is>
      </c>
      <c r="L664" s="7" t="inlineStr">
        <is>
          <t>Apex Funding</t>
        </is>
      </c>
      <c r="M664" s="7" t="inlineStr">
        <is>
          <t>Northgate Servicing</t>
        </is>
      </c>
    </row>
    <row r="665">
      <c r="A665" s="5" t="inlineStr">
        <is>
          <t>L100660</t>
        </is>
      </c>
      <c r="B665" s="16" t="n">
        <v>134297.54</v>
      </c>
      <c r="C665" s="16" t="n">
        <v>118394.87</v>
      </c>
      <c r="D665" s="26" t="n">
        <v>6.069</v>
      </c>
      <c r="E665" s="6" t="n">
        <v>660</v>
      </c>
      <c r="F665" s="11" t="n">
        <v>54.5</v>
      </c>
      <c r="G665" s="11" t="n">
        <v>51.7</v>
      </c>
      <c r="H665" s="6" t="n">
        <v>32</v>
      </c>
      <c r="I665" s="6" t="n">
        <v>148</v>
      </c>
      <c r="J665" s="5" t="inlineStr">
        <is>
          <t>FL</t>
        </is>
      </c>
      <c r="K665" s="5" t="inlineStr">
        <is>
          <t>SFR</t>
        </is>
      </c>
      <c r="L665" s="5" t="inlineStr">
        <is>
          <t>Coastal Mortgage Co</t>
        </is>
      </c>
      <c r="M665" s="5" t="inlineStr">
        <is>
          <t>Summit Loan Servicing</t>
        </is>
      </c>
    </row>
    <row r="666">
      <c r="A666" s="7" t="inlineStr">
        <is>
          <t>L100661</t>
        </is>
      </c>
      <c r="B666" s="8" t="n">
        <v>241313.7</v>
      </c>
      <c r="C666" s="8" t="n">
        <v>234437.09</v>
      </c>
      <c r="D666" s="27" t="n">
        <v>6.664</v>
      </c>
      <c r="E666" s="10" t="n">
        <v>676</v>
      </c>
      <c r="F666" s="12" t="n">
        <v>69.7</v>
      </c>
      <c r="G666" s="12" t="n">
        <v>55</v>
      </c>
      <c r="H666" s="10" t="n">
        <v>30</v>
      </c>
      <c r="I666" s="10" t="n">
        <v>330</v>
      </c>
      <c r="J666" s="7" t="inlineStr">
        <is>
          <t>NC</t>
        </is>
      </c>
      <c r="K666" s="7" t="inlineStr">
        <is>
          <t>2-4 Unit</t>
        </is>
      </c>
      <c r="L666" s="7" t="inlineStr">
        <is>
          <t>Highline Capital</t>
        </is>
      </c>
      <c r="M666" s="7" t="inlineStr">
        <is>
          <t>Northgate Servicing</t>
        </is>
      </c>
    </row>
    <row r="667">
      <c r="A667" s="5" t="inlineStr">
        <is>
          <t>L100662</t>
        </is>
      </c>
      <c r="B667" s="16" t="n">
        <v>177043.71</v>
      </c>
      <c r="C667" s="16" t="n">
        <v>174922</v>
      </c>
      <c r="D667" s="26" t="n">
        <v>6.569</v>
      </c>
      <c r="E667" s="6" t="n">
        <v>696</v>
      </c>
      <c r="F667" s="11" t="n">
        <v>80.8</v>
      </c>
      <c r="G667" s="11" t="n">
        <v>14.3</v>
      </c>
      <c r="H667" s="6" t="n">
        <v>13</v>
      </c>
      <c r="I667" s="6" t="n">
        <v>347</v>
      </c>
      <c r="J667" s="5" t="inlineStr">
        <is>
          <t>WA</t>
        </is>
      </c>
      <c r="K667" s="5" t="inlineStr">
        <is>
          <t>SFR</t>
        </is>
      </c>
      <c r="L667" s="5" t="inlineStr">
        <is>
          <t>Apex Funding</t>
        </is>
      </c>
      <c r="M667" s="5" t="inlineStr">
        <is>
          <t>Northgate Servicing</t>
        </is>
      </c>
    </row>
    <row r="668">
      <c r="A668" s="7" t="inlineStr">
        <is>
          <t>L100663</t>
        </is>
      </c>
      <c r="B668" s="8" t="n">
        <v>215384.63</v>
      </c>
      <c r="C668" s="8" t="n">
        <v>211409.36</v>
      </c>
      <c r="D668" s="27" t="n">
        <v>6.942</v>
      </c>
      <c r="E668" s="10" t="n">
        <v>636</v>
      </c>
      <c r="F668" s="12" t="n">
        <v>65.7</v>
      </c>
      <c r="G668" s="12" t="n">
        <v>35.2</v>
      </c>
      <c r="H668" s="10" t="n">
        <v>21</v>
      </c>
      <c r="I668" s="10" t="n">
        <v>339</v>
      </c>
      <c r="J668" s="7" t="inlineStr">
        <is>
          <t>AZ</t>
        </is>
      </c>
      <c r="K668" s="7" t="inlineStr">
        <is>
          <t>SFR</t>
        </is>
      </c>
      <c r="L668" s="7" t="inlineStr">
        <is>
          <t>Apex Funding</t>
        </is>
      </c>
      <c r="M668" s="7" t="inlineStr">
        <is>
          <t>Northgate Servicing</t>
        </is>
      </c>
    </row>
    <row r="669">
      <c r="A669" s="5" t="inlineStr">
        <is>
          <t>L100664</t>
        </is>
      </c>
      <c r="B669" s="16" t="n">
        <v>235966.3</v>
      </c>
      <c r="C669" s="16" t="n">
        <v>227192.6</v>
      </c>
      <c r="D669" s="26" t="n">
        <v>6.944</v>
      </c>
      <c r="E669" s="6" t="n">
        <v>692</v>
      </c>
      <c r="F669" s="11" t="n">
        <v>97</v>
      </c>
      <c r="G669" s="11" t="n">
        <v>30.2</v>
      </c>
      <c r="H669" s="6" t="n">
        <v>40</v>
      </c>
      <c r="I669" s="6" t="n">
        <v>320</v>
      </c>
      <c r="J669" s="5" t="inlineStr">
        <is>
          <t>NY</t>
        </is>
      </c>
      <c r="K669" s="5" t="inlineStr">
        <is>
          <t>SFR</t>
        </is>
      </c>
      <c r="L669" s="5" t="inlineStr">
        <is>
          <t>Meridian Home Loans</t>
        </is>
      </c>
      <c r="M669" s="5" t="inlineStr">
        <is>
          <t>Pier Asset Mgmt</t>
        </is>
      </c>
    </row>
    <row r="670">
      <c r="A670" s="7" t="inlineStr">
        <is>
          <t>L100665</t>
        </is>
      </c>
      <c r="B670" s="8" t="n">
        <v>133655.61</v>
      </c>
      <c r="C670" s="8" t="n">
        <v>131916</v>
      </c>
      <c r="D670" s="27" t="n">
        <v>4.055</v>
      </c>
      <c r="E670" s="10" t="n">
        <v>722</v>
      </c>
      <c r="F670" s="12" t="n">
        <v>84.59999999999999</v>
      </c>
      <c r="G670" s="12" t="n">
        <v>33.9</v>
      </c>
      <c r="H670" s="10" t="n">
        <v>9</v>
      </c>
      <c r="I670" s="10" t="n">
        <v>351</v>
      </c>
      <c r="J670" s="7" t="inlineStr">
        <is>
          <t>IL</t>
        </is>
      </c>
      <c r="K670" s="7" t="inlineStr">
        <is>
          <t>SFR</t>
        </is>
      </c>
      <c r="L670" s="7" t="inlineStr">
        <is>
          <t>Meridian Home Loans</t>
        </is>
      </c>
      <c r="M670" s="7" t="inlineStr">
        <is>
          <t>Summit Loan Servicing</t>
        </is>
      </c>
    </row>
    <row r="671">
      <c r="A671" s="5" t="inlineStr">
        <is>
          <t>L100666</t>
        </is>
      </c>
      <c r="B671" s="16" t="n">
        <v>137932.48</v>
      </c>
      <c r="C671" s="16" t="n">
        <v>120630.93</v>
      </c>
      <c r="D671" s="26" t="n">
        <v>6.184</v>
      </c>
      <c r="E671" s="6" t="n">
        <v>693</v>
      </c>
      <c r="F671" s="11" t="n">
        <v>89.7</v>
      </c>
      <c r="G671" s="11" t="n">
        <v>32.7</v>
      </c>
      <c r="H671" s="6" t="n">
        <v>34</v>
      </c>
      <c r="I671" s="6" t="n">
        <v>146</v>
      </c>
      <c r="J671" s="5" t="inlineStr">
        <is>
          <t>TX</t>
        </is>
      </c>
      <c r="K671" s="5" t="inlineStr">
        <is>
          <t>2-4 Unit</t>
        </is>
      </c>
      <c r="L671" s="5" t="inlineStr">
        <is>
          <t>Meridian Home Loans</t>
        </is>
      </c>
      <c r="M671" s="5" t="inlineStr">
        <is>
          <t>Summit Loan Servicing</t>
        </is>
      </c>
    </row>
    <row r="672">
      <c r="A672" s="7" t="inlineStr">
        <is>
          <t>L100667</t>
        </is>
      </c>
      <c r="B672" s="8" t="n">
        <v>287426.77</v>
      </c>
      <c r="C672" s="8" t="n">
        <v>276588.59</v>
      </c>
      <c r="D672" s="27" t="n">
        <v>6.866</v>
      </c>
      <c r="E672" s="10" t="n">
        <v>700</v>
      </c>
      <c r="F672" s="12" t="n">
        <v>83.5</v>
      </c>
      <c r="G672" s="12" t="n">
        <v>42.5</v>
      </c>
      <c r="H672" s="10" t="n">
        <v>40</v>
      </c>
      <c r="I672" s="10" t="n">
        <v>320</v>
      </c>
      <c r="J672" s="7" t="inlineStr">
        <is>
          <t>TX</t>
        </is>
      </c>
      <c r="K672" s="7" t="inlineStr">
        <is>
          <t>SFR</t>
        </is>
      </c>
      <c r="L672" s="7" t="inlineStr">
        <is>
          <t>Apex Funding</t>
        </is>
      </c>
      <c r="M672" s="7" t="inlineStr">
        <is>
          <t>Northgate Servicing</t>
        </is>
      </c>
    </row>
    <row r="673">
      <c r="A673" s="5" t="inlineStr">
        <is>
          <t>L100668</t>
        </is>
      </c>
      <c r="B673" s="16" t="n">
        <v>202207.25</v>
      </c>
      <c r="C673" s="16" t="n">
        <v>192131.08</v>
      </c>
      <c r="D673" s="26" t="n">
        <v>6.031</v>
      </c>
      <c r="E673" s="6" t="n">
        <v>714</v>
      </c>
      <c r="F673" s="11" t="n">
        <v>96.2</v>
      </c>
      <c r="G673" s="11" t="n">
        <v>35.1</v>
      </c>
      <c r="H673" s="6" t="n">
        <v>45</v>
      </c>
      <c r="I673" s="6" t="n">
        <v>315</v>
      </c>
      <c r="J673" s="5" t="inlineStr">
        <is>
          <t>FL</t>
        </is>
      </c>
      <c r="K673" s="5" t="inlineStr">
        <is>
          <t>SFR</t>
        </is>
      </c>
      <c r="L673" s="5" t="inlineStr">
        <is>
          <t>Highline Capital</t>
        </is>
      </c>
      <c r="M673" s="5" t="inlineStr">
        <is>
          <t>Pier Asset Mgmt</t>
        </is>
      </c>
    </row>
    <row r="674">
      <c r="A674" s="7" t="inlineStr">
        <is>
          <t>L100669</t>
        </is>
      </c>
      <c r="B674" s="8" t="n">
        <v>98946.98</v>
      </c>
      <c r="C674" s="8" t="n">
        <v>97437.28</v>
      </c>
      <c r="D674" s="27" t="n">
        <v>6.433</v>
      </c>
      <c r="E674" s="10" t="n">
        <v>679</v>
      </c>
      <c r="F674" s="12" t="n">
        <v>64.59999999999999</v>
      </c>
      <c r="G674" s="12" t="n">
        <v>28.7</v>
      </c>
      <c r="H674" s="10" t="n">
        <v>16</v>
      </c>
      <c r="I674" s="10" t="n">
        <v>344</v>
      </c>
      <c r="J674" s="7" t="inlineStr">
        <is>
          <t>NY</t>
        </is>
      </c>
      <c r="K674" s="7" t="inlineStr">
        <is>
          <t>SFR</t>
        </is>
      </c>
      <c r="L674" s="7" t="inlineStr">
        <is>
          <t>Highline Capital</t>
        </is>
      </c>
      <c r="M674" s="7" t="inlineStr">
        <is>
          <t>Summit Loan Servicing</t>
        </is>
      </c>
    </row>
    <row r="675">
      <c r="A675" s="5" t="inlineStr">
        <is>
          <t>L100670</t>
        </is>
      </c>
      <c r="B675" s="16" t="n">
        <v>319558.43</v>
      </c>
      <c r="C675" s="16" t="n">
        <v>316082.67</v>
      </c>
      <c r="D675" s="26" t="n">
        <v>7.076</v>
      </c>
      <c r="E675" s="6" t="n">
        <v>753</v>
      </c>
      <c r="F675" s="11" t="n">
        <v>43.3</v>
      </c>
      <c r="G675" s="11" t="n">
        <v>34.6</v>
      </c>
      <c r="H675" s="6" t="n">
        <v>13</v>
      </c>
      <c r="I675" s="6" t="n">
        <v>347</v>
      </c>
      <c r="J675" s="5" t="inlineStr">
        <is>
          <t>WA</t>
        </is>
      </c>
      <c r="K675" s="5" t="inlineStr">
        <is>
          <t>SFR</t>
        </is>
      </c>
      <c r="L675" s="5" t="inlineStr">
        <is>
          <t>Apex Funding</t>
        </is>
      </c>
      <c r="M675" s="5" t="inlineStr">
        <is>
          <t>Pier Asset Mgmt</t>
        </is>
      </c>
    </row>
    <row r="676">
      <c r="A676" s="7" t="inlineStr">
        <is>
          <t>L100671</t>
        </is>
      </c>
      <c r="B676" s="8" t="n">
        <v>267086.92</v>
      </c>
      <c r="C676" s="8" t="n">
        <v>255069.73</v>
      </c>
      <c r="D676" s="27" t="n">
        <v>6.473</v>
      </c>
      <c r="E676" s="10" t="n">
        <v>794</v>
      </c>
      <c r="F676" s="12" t="n">
        <v>68.59999999999999</v>
      </c>
      <c r="G676" s="12" t="n">
        <v>40.1</v>
      </c>
      <c r="H676" s="10" t="n">
        <v>44</v>
      </c>
      <c r="I676" s="10" t="n">
        <v>316</v>
      </c>
      <c r="J676" s="7" t="inlineStr">
        <is>
          <t>OH</t>
        </is>
      </c>
      <c r="K676" s="7" t="inlineStr">
        <is>
          <t>SFR</t>
        </is>
      </c>
      <c r="L676" s="7" t="inlineStr">
        <is>
          <t>Meridian Home Loans</t>
        </is>
      </c>
      <c r="M676" s="7" t="inlineStr">
        <is>
          <t>Pier Asset Mgmt</t>
        </is>
      </c>
    </row>
    <row r="677">
      <c r="A677" s="5" t="inlineStr">
        <is>
          <t>L100672</t>
        </is>
      </c>
      <c r="B677" s="16" t="n">
        <v>189121.29</v>
      </c>
      <c r="C677" s="16" t="n">
        <v>185980.99</v>
      </c>
      <c r="D677" s="26" t="n">
        <v>7.757</v>
      </c>
      <c r="E677" s="6" t="n">
        <v>689</v>
      </c>
      <c r="F677" s="11" t="n">
        <v>80.7</v>
      </c>
      <c r="G677" s="11" t="n">
        <v>26.5</v>
      </c>
      <c r="H677" s="6" t="n">
        <v>22</v>
      </c>
      <c r="I677" s="6" t="n">
        <v>338</v>
      </c>
      <c r="J677" s="5" t="inlineStr">
        <is>
          <t>TX</t>
        </is>
      </c>
      <c r="K677" s="5" t="inlineStr">
        <is>
          <t>Condo</t>
        </is>
      </c>
      <c r="L677" s="5" t="inlineStr">
        <is>
          <t>Apex Funding</t>
        </is>
      </c>
      <c r="M677" s="5" t="inlineStr">
        <is>
          <t>Pier Asset Mgmt</t>
        </is>
      </c>
    </row>
    <row r="678">
      <c r="A678" s="7" t="inlineStr">
        <is>
          <t>L100673</t>
        </is>
      </c>
      <c r="B678" s="8" t="n">
        <v>153140.25</v>
      </c>
      <c r="C678" s="8" t="n">
        <v>149754.27</v>
      </c>
      <c r="D678" s="27" t="n">
        <v>7.414</v>
      </c>
      <c r="E678" s="10" t="n">
        <v>742</v>
      </c>
      <c r="F678" s="12" t="n">
        <v>75.8</v>
      </c>
      <c r="G678" s="12" t="n">
        <v>22.8</v>
      </c>
      <c r="H678" s="10" t="n">
        <v>27</v>
      </c>
      <c r="I678" s="10" t="n">
        <v>333</v>
      </c>
      <c r="J678" s="7" t="inlineStr">
        <is>
          <t>NY</t>
        </is>
      </c>
      <c r="K678" s="7" t="inlineStr">
        <is>
          <t>SFR</t>
        </is>
      </c>
      <c r="L678" s="7" t="inlineStr">
        <is>
          <t>Apex Funding</t>
        </is>
      </c>
      <c r="M678" s="7" t="inlineStr">
        <is>
          <t>Northgate Servicing</t>
        </is>
      </c>
    </row>
    <row r="679">
      <c r="A679" s="5" t="inlineStr">
        <is>
          <t>L100674</t>
        </is>
      </c>
      <c r="B679" s="16" t="n">
        <v>325309.65</v>
      </c>
      <c r="C679" s="16" t="n">
        <v>317155.21</v>
      </c>
      <c r="D679" s="26" t="n">
        <v>6.293</v>
      </c>
      <c r="E679" s="6" t="n">
        <v>702</v>
      </c>
      <c r="F679" s="11" t="n">
        <v>77.3</v>
      </c>
      <c r="G679" s="11" t="n">
        <v>51.9</v>
      </c>
      <c r="H679" s="6" t="n">
        <v>25</v>
      </c>
      <c r="I679" s="6" t="n">
        <v>335</v>
      </c>
      <c r="J679" s="5" t="inlineStr">
        <is>
          <t>CA</t>
        </is>
      </c>
      <c r="K679" s="5" t="inlineStr">
        <is>
          <t>SFR</t>
        </is>
      </c>
      <c r="L679" s="5" t="inlineStr">
        <is>
          <t>Apex Funding</t>
        </is>
      </c>
      <c r="M679" s="5" t="inlineStr">
        <is>
          <t>Summit Loan Servicing</t>
        </is>
      </c>
    </row>
    <row r="680">
      <c r="A680" s="7" t="inlineStr">
        <is>
          <t>L100675</t>
        </is>
      </c>
      <c r="B680" s="8" t="n">
        <v>274380.94</v>
      </c>
      <c r="C680" s="8" t="n">
        <v>267413.33</v>
      </c>
      <c r="D680" s="27" t="n">
        <v>6.222</v>
      </c>
      <c r="E680" s="10" t="n">
        <v>735</v>
      </c>
      <c r="F680" s="12" t="n">
        <v>89.90000000000001</v>
      </c>
      <c r="G680" s="12" t="n">
        <v>30.9</v>
      </c>
      <c r="H680" s="10" t="n">
        <v>25</v>
      </c>
      <c r="I680" s="10" t="n">
        <v>335</v>
      </c>
      <c r="J680" s="7" t="inlineStr">
        <is>
          <t>CA</t>
        </is>
      </c>
      <c r="K680" s="7" t="inlineStr">
        <is>
          <t>SFR</t>
        </is>
      </c>
      <c r="L680" s="7" t="inlineStr">
        <is>
          <t>Apex Funding</t>
        </is>
      </c>
      <c r="M680" s="7" t="inlineStr">
        <is>
          <t>Summit Loan Servicing</t>
        </is>
      </c>
    </row>
    <row r="681">
      <c r="A681" s="5" t="inlineStr">
        <is>
          <t>L100676</t>
        </is>
      </c>
      <c r="B681" s="16" t="n">
        <v>559003.38</v>
      </c>
      <c r="C681" s="16" t="n">
        <v>532933.65</v>
      </c>
      <c r="D681" s="26" t="n">
        <v>3.835</v>
      </c>
      <c r="E681" s="6" t="n">
        <v>801</v>
      </c>
      <c r="F681" s="11" t="n">
        <v>78.59999999999999</v>
      </c>
      <c r="G681" s="11" t="n">
        <v>34.9</v>
      </c>
      <c r="H681" s="6" t="n">
        <v>30</v>
      </c>
      <c r="I681" s="6" t="n">
        <v>330</v>
      </c>
      <c r="J681" s="5" t="inlineStr">
        <is>
          <t>NY</t>
        </is>
      </c>
      <c r="K681" s="5" t="inlineStr">
        <is>
          <t>SFR</t>
        </is>
      </c>
      <c r="L681" s="5" t="inlineStr">
        <is>
          <t>Apex Funding</t>
        </is>
      </c>
      <c r="M681" s="5" t="inlineStr">
        <is>
          <t>Northgate Servicing</t>
        </is>
      </c>
    </row>
    <row r="682">
      <c r="A682" s="7" t="inlineStr">
        <is>
          <t>L100677</t>
        </is>
      </c>
      <c r="B682" s="8" t="n">
        <v>281268.78</v>
      </c>
      <c r="C682" s="8" t="n">
        <v>275507.74</v>
      </c>
      <c r="D682" s="27" t="n">
        <v>6.106</v>
      </c>
      <c r="E682" s="10" t="n">
        <v>743</v>
      </c>
      <c r="F682" s="12" t="n">
        <v>83.59999999999999</v>
      </c>
      <c r="G682" s="12" t="n">
        <v>32.8</v>
      </c>
      <c r="H682" s="10" t="n">
        <v>20</v>
      </c>
      <c r="I682" s="10" t="n">
        <v>340</v>
      </c>
      <c r="J682" s="7" t="inlineStr">
        <is>
          <t>WA</t>
        </is>
      </c>
      <c r="K682" s="7" t="inlineStr">
        <is>
          <t>SFR</t>
        </is>
      </c>
      <c r="L682" s="7" t="inlineStr">
        <is>
          <t>Apex Funding</t>
        </is>
      </c>
      <c r="M682" s="7" t="inlineStr">
        <is>
          <t>Northgate Servicing</t>
        </is>
      </c>
    </row>
    <row r="683">
      <c r="A683" s="5" t="inlineStr">
        <is>
          <t>L100678</t>
        </is>
      </c>
      <c r="B683" s="16" t="n">
        <v>278088.89</v>
      </c>
      <c r="C683" s="16" t="n">
        <v>271706.55</v>
      </c>
      <c r="D683" s="26" t="n">
        <v>5.182</v>
      </c>
      <c r="E683" s="6" t="n">
        <v>617</v>
      </c>
      <c r="F683" s="11" t="n">
        <v>62.7</v>
      </c>
      <c r="G683" s="11" t="n">
        <v>40.4</v>
      </c>
      <c r="H683" s="6" t="n">
        <v>19</v>
      </c>
      <c r="I683" s="6" t="n">
        <v>341</v>
      </c>
      <c r="J683" s="5" t="inlineStr">
        <is>
          <t>TX</t>
        </is>
      </c>
      <c r="K683" s="5" t="inlineStr">
        <is>
          <t>SFR</t>
        </is>
      </c>
      <c r="L683" s="5" t="inlineStr">
        <is>
          <t>Coastal Mortgage Co</t>
        </is>
      </c>
      <c r="M683" s="5" t="inlineStr">
        <is>
          <t>Pier Asset Mgmt</t>
        </is>
      </c>
    </row>
    <row r="684">
      <c r="A684" s="7" t="inlineStr">
        <is>
          <t>L100679</t>
        </is>
      </c>
      <c r="B684" s="8" t="n">
        <v>229022.43</v>
      </c>
      <c r="C684" s="8" t="n">
        <v>224966.69</v>
      </c>
      <c r="D684" s="27" t="n">
        <v>6.599</v>
      </c>
      <c r="E684" s="10" t="n">
        <v>740</v>
      </c>
      <c r="F684" s="12" t="n">
        <v>60.9</v>
      </c>
      <c r="G684" s="12" t="n">
        <v>50.2</v>
      </c>
      <c r="H684" s="10" t="n">
        <v>19</v>
      </c>
      <c r="I684" s="10" t="n">
        <v>341</v>
      </c>
      <c r="J684" s="7" t="inlineStr">
        <is>
          <t>NC</t>
        </is>
      </c>
      <c r="K684" s="7" t="inlineStr">
        <is>
          <t>SFR</t>
        </is>
      </c>
      <c r="L684" s="7" t="inlineStr">
        <is>
          <t>Meridian Home Loans</t>
        </is>
      </c>
      <c r="M684" s="7" t="inlineStr">
        <is>
          <t>Pier Asset Mgmt</t>
        </is>
      </c>
    </row>
    <row r="685">
      <c r="A685" s="5" t="inlineStr">
        <is>
          <t>L100680</t>
        </is>
      </c>
      <c r="B685" s="16" t="n">
        <v>323149.89</v>
      </c>
      <c r="C685" s="16" t="n">
        <v>313385.6</v>
      </c>
      <c r="D685" s="26" t="n">
        <v>6.538</v>
      </c>
      <c r="E685" s="6" t="n">
        <v>783</v>
      </c>
      <c r="F685" s="11" t="n">
        <v>93.40000000000001</v>
      </c>
      <c r="G685" s="11" t="n">
        <v>40.6</v>
      </c>
      <c r="H685" s="6" t="n">
        <v>31</v>
      </c>
      <c r="I685" s="6" t="n">
        <v>329</v>
      </c>
      <c r="J685" s="5" t="inlineStr">
        <is>
          <t>NY</t>
        </is>
      </c>
      <c r="K685" s="5" t="inlineStr">
        <is>
          <t>SFR</t>
        </is>
      </c>
      <c r="L685" s="5" t="inlineStr">
        <is>
          <t>Meridian Home Loans</t>
        </is>
      </c>
      <c r="M685" s="5" t="inlineStr">
        <is>
          <t>Pier Asset Mgmt</t>
        </is>
      </c>
    </row>
    <row r="686">
      <c r="A686" s="7" t="inlineStr">
        <is>
          <t>L100681</t>
        </is>
      </c>
      <c r="B686" s="8" t="n">
        <v>302180.51</v>
      </c>
      <c r="C686" s="8" t="n">
        <v>291419.28</v>
      </c>
      <c r="D686" s="27" t="n">
        <v>7.026</v>
      </c>
      <c r="E686" s="10" t="n">
        <v>703</v>
      </c>
      <c r="F686" s="12" t="n">
        <v>75.2</v>
      </c>
      <c r="G686" s="12" t="n">
        <v>23.9</v>
      </c>
      <c r="H686" s="10" t="n">
        <v>39</v>
      </c>
      <c r="I686" s="10" t="n">
        <v>321</v>
      </c>
      <c r="J686" s="7" t="inlineStr">
        <is>
          <t>GA</t>
        </is>
      </c>
      <c r="K686" s="7" t="inlineStr">
        <is>
          <t>SFR</t>
        </is>
      </c>
      <c r="L686" s="7" t="inlineStr">
        <is>
          <t>Highline Capital</t>
        </is>
      </c>
      <c r="M686" s="7" t="inlineStr">
        <is>
          <t>Northgate Servicing</t>
        </is>
      </c>
    </row>
    <row r="687">
      <c r="A687" s="5" t="inlineStr">
        <is>
          <t>L100682</t>
        </is>
      </c>
      <c r="B687" s="16" t="n">
        <v>376285.62</v>
      </c>
      <c r="C687" s="16" t="n">
        <v>368339.91</v>
      </c>
      <c r="D687" s="26" t="n">
        <v>7.657</v>
      </c>
      <c r="E687" s="6" t="n">
        <v>770</v>
      </c>
      <c r="F687" s="11" t="n">
        <v>66.5</v>
      </c>
      <c r="G687" s="11" t="n">
        <v>24.9</v>
      </c>
      <c r="H687" s="6" t="n">
        <v>27</v>
      </c>
      <c r="I687" s="6" t="n">
        <v>333</v>
      </c>
      <c r="J687" s="5" t="inlineStr">
        <is>
          <t>OH</t>
        </is>
      </c>
      <c r="K687" s="5" t="inlineStr">
        <is>
          <t>Condo</t>
        </is>
      </c>
      <c r="L687" s="5" t="inlineStr">
        <is>
          <t>Coastal Mortgage Co</t>
        </is>
      </c>
      <c r="M687" s="5" t="inlineStr">
        <is>
          <t>Summit Loan Servicing</t>
        </is>
      </c>
    </row>
    <row r="688">
      <c r="A688" s="7" t="inlineStr">
        <is>
          <t>L100683</t>
        </is>
      </c>
      <c r="B688" s="8" t="n">
        <v>202306.06</v>
      </c>
      <c r="C688" s="8" t="n">
        <v>195790.21</v>
      </c>
      <c r="D688" s="27" t="n">
        <v>6.376</v>
      </c>
      <c r="E688" s="10" t="n">
        <v>677</v>
      </c>
      <c r="F688" s="12" t="n">
        <v>66.5</v>
      </c>
      <c r="G688" s="12" t="n">
        <v>32.8</v>
      </c>
      <c r="H688" s="10" t="n">
        <v>32</v>
      </c>
      <c r="I688" s="10" t="n">
        <v>328</v>
      </c>
      <c r="J688" s="7" t="inlineStr">
        <is>
          <t>OH</t>
        </is>
      </c>
      <c r="K688" s="7" t="inlineStr">
        <is>
          <t>SFR</t>
        </is>
      </c>
      <c r="L688" s="7" t="inlineStr">
        <is>
          <t>Coastal Mortgage Co</t>
        </is>
      </c>
      <c r="M688" s="7" t="inlineStr">
        <is>
          <t>Northgate Servicing</t>
        </is>
      </c>
    </row>
    <row r="689">
      <c r="A689" s="5" t="inlineStr">
        <is>
          <t>L100684</t>
        </is>
      </c>
      <c r="B689" s="16" t="n">
        <v>208481.87</v>
      </c>
      <c r="C689" s="16" t="n">
        <v>205752.72</v>
      </c>
      <c r="D689" s="26" t="n">
        <v>8.452</v>
      </c>
      <c r="E689" s="6" t="n">
        <v>633</v>
      </c>
      <c r="F689" s="11" t="n">
        <v>66.2</v>
      </c>
      <c r="G689" s="11" t="n">
        <v>33.9</v>
      </c>
      <c r="H689" s="6" t="n">
        <v>20</v>
      </c>
      <c r="I689" s="6" t="n">
        <v>340</v>
      </c>
      <c r="J689" s="5" t="inlineStr">
        <is>
          <t>OH</t>
        </is>
      </c>
      <c r="K689" s="5" t="inlineStr">
        <is>
          <t>2-4 Unit</t>
        </is>
      </c>
      <c r="L689" s="5" t="inlineStr">
        <is>
          <t>Coastal Mortgage Co</t>
        </is>
      </c>
      <c r="M689" s="5" t="inlineStr">
        <is>
          <t>Pier Asset Mgmt</t>
        </is>
      </c>
    </row>
    <row r="690">
      <c r="A690" s="7" t="inlineStr">
        <is>
          <t>L100685</t>
        </is>
      </c>
      <c r="B690" s="8" t="n">
        <v>205317.72</v>
      </c>
      <c r="C690" s="8" t="n">
        <v>197882.9</v>
      </c>
      <c r="D690" s="27" t="n">
        <v>6.609</v>
      </c>
      <c r="E690" s="10" t="n">
        <v>723</v>
      </c>
      <c r="F690" s="12" t="n">
        <v>65.5</v>
      </c>
      <c r="G690" s="12" t="n">
        <v>22.2</v>
      </c>
      <c r="H690" s="10" t="n">
        <v>37</v>
      </c>
      <c r="I690" s="10" t="n">
        <v>323</v>
      </c>
      <c r="J690" s="7" t="inlineStr">
        <is>
          <t>IL</t>
        </is>
      </c>
      <c r="K690" s="7" t="inlineStr">
        <is>
          <t>SFR</t>
        </is>
      </c>
      <c r="L690" s="7" t="inlineStr">
        <is>
          <t>Meridian Home Loans</t>
        </is>
      </c>
      <c r="M690" s="7" t="inlineStr">
        <is>
          <t>Pier Asset Mgmt</t>
        </is>
      </c>
    </row>
    <row r="691">
      <c r="A691" s="5" t="inlineStr">
        <is>
          <t>L100686</t>
        </is>
      </c>
      <c r="B691" s="16" t="n">
        <v>320225.46</v>
      </c>
      <c r="C691" s="16" t="n">
        <v>312927.08</v>
      </c>
      <c r="D691" s="26" t="n">
        <v>5.221</v>
      </c>
      <c r="E691" s="6" t="n">
        <v>618</v>
      </c>
      <c r="F691" s="11" t="n">
        <v>58.6</v>
      </c>
      <c r="G691" s="11" t="n">
        <v>42.6</v>
      </c>
      <c r="H691" s="6" t="n">
        <v>19</v>
      </c>
      <c r="I691" s="6" t="n">
        <v>341</v>
      </c>
      <c r="J691" s="5" t="inlineStr">
        <is>
          <t>CA</t>
        </is>
      </c>
      <c r="K691" s="5" t="inlineStr">
        <is>
          <t>SFR</t>
        </is>
      </c>
      <c r="L691" s="5" t="inlineStr">
        <is>
          <t>Highline Capital</t>
        </is>
      </c>
      <c r="M691" s="5" t="inlineStr">
        <is>
          <t>Pier Asset Mgmt</t>
        </is>
      </c>
    </row>
    <row r="692">
      <c r="A692" s="7" t="inlineStr">
        <is>
          <t>L100687</t>
        </is>
      </c>
      <c r="B692" s="8" t="n">
        <v>410212.69</v>
      </c>
      <c r="C692" s="8" t="n">
        <v>401477.72</v>
      </c>
      <c r="D692" s="27" t="n">
        <v>5.894</v>
      </c>
      <c r="E692" s="10" t="n">
        <v>702</v>
      </c>
      <c r="F692" s="12" t="n">
        <v>56</v>
      </c>
      <c r="G692" s="12" t="n">
        <v>27.3</v>
      </c>
      <c r="H692" s="10" t="n">
        <v>20</v>
      </c>
      <c r="I692" s="10" t="n">
        <v>340</v>
      </c>
      <c r="J692" s="7" t="inlineStr">
        <is>
          <t>WA</t>
        </is>
      </c>
      <c r="K692" s="7" t="inlineStr">
        <is>
          <t>Condo</t>
        </is>
      </c>
      <c r="L692" s="7" t="inlineStr">
        <is>
          <t>Meridian Home Loans</t>
        </is>
      </c>
      <c r="M692" s="7" t="inlineStr">
        <is>
          <t>Summit Loan Servicing</t>
        </is>
      </c>
    </row>
    <row r="693">
      <c r="A693" s="5" t="inlineStr">
        <is>
          <t>L100688</t>
        </is>
      </c>
      <c r="B693" s="16" t="n">
        <v>206778.99</v>
      </c>
      <c r="C693" s="16" t="n">
        <v>206165.99</v>
      </c>
      <c r="D693" s="26" t="n">
        <v>6.065</v>
      </c>
      <c r="E693" s="6" t="n">
        <v>786</v>
      </c>
      <c r="F693" s="11" t="n">
        <v>71.7</v>
      </c>
      <c r="G693" s="11" t="n">
        <v>47.9</v>
      </c>
      <c r="H693" s="6" t="n">
        <v>3</v>
      </c>
      <c r="I693" s="6" t="n">
        <v>357</v>
      </c>
      <c r="J693" s="5" t="inlineStr">
        <is>
          <t>WA</t>
        </is>
      </c>
      <c r="K693" s="5" t="inlineStr">
        <is>
          <t>SFR</t>
        </is>
      </c>
      <c r="L693" s="5" t="inlineStr">
        <is>
          <t>Meridian Home Loans</t>
        </is>
      </c>
      <c r="M693" s="5" t="inlineStr">
        <is>
          <t>Northgate Servicing</t>
        </is>
      </c>
    </row>
    <row r="694">
      <c r="A694" s="7" t="inlineStr">
        <is>
          <t>L100689</t>
        </is>
      </c>
      <c r="B694" s="8" t="n">
        <v>209259.25</v>
      </c>
      <c r="C694" s="8" t="n">
        <v>206919.73</v>
      </c>
      <c r="D694" s="27" t="n">
        <v>6.933</v>
      </c>
      <c r="E694" s="10" t="n">
        <v>610</v>
      </c>
      <c r="F694" s="12" t="n">
        <v>66.90000000000001</v>
      </c>
      <c r="G694" s="12" t="n">
        <v>50.6</v>
      </c>
      <c r="H694" s="10" t="n">
        <v>13</v>
      </c>
      <c r="I694" s="10" t="n">
        <v>347</v>
      </c>
      <c r="J694" s="7" t="inlineStr">
        <is>
          <t>OH</t>
        </is>
      </c>
      <c r="K694" s="7" t="inlineStr">
        <is>
          <t>SFR</t>
        </is>
      </c>
      <c r="L694" s="7" t="inlineStr">
        <is>
          <t>Coastal Mortgage Co</t>
        </is>
      </c>
      <c r="M694" s="7" t="inlineStr">
        <is>
          <t>Northgate Servicing</t>
        </is>
      </c>
    </row>
    <row r="695">
      <c r="A695" s="5" t="inlineStr">
        <is>
          <t>L100690</t>
        </is>
      </c>
      <c r="B695" s="16" t="n">
        <v>271014.34</v>
      </c>
      <c r="C695" s="16" t="n">
        <v>259872.02</v>
      </c>
      <c r="D695" s="26" t="n">
        <v>5.547</v>
      </c>
      <c r="E695" s="6" t="n">
        <v>645</v>
      </c>
      <c r="F695" s="11" t="n">
        <v>87.3</v>
      </c>
      <c r="G695" s="11" t="n">
        <v>34</v>
      </c>
      <c r="H695" s="6" t="n">
        <v>35</v>
      </c>
      <c r="I695" s="6" t="n">
        <v>325</v>
      </c>
      <c r="J695" s="5" t="inlineStr">
        <is>
          <t>IL</t>
        </is>
      </c>
      <c r="K695" s="5" t="inlineStr">
        <is>
          <t>SFR</t>
        </is>
      </c>
      <c r="L695" s="5" t="inlineStr">
        <is>
          <t>Coastal Mortgage Co</t>
        </is>
      </c>
      <c r="M695" s="5" t="inlineStr">
        <is>
          <t>Summit Loan Servicing</t>
        </is>
      </c>
    </row>
    <row r="696">
      <c r="A696" s="7" t="inlineStr">
        <is>
          <t>L100691</t>
        </is>
      </c>
      <c r="B696" s="8" t="n">
        <v>222789.68</v>
      </c>
      <c r="C696" s="8" t="n">
        <v>221697.34</v>
      </c>
      <c r="D696" s="27" t="n">
        <v>6.132</v>
      </c>
      <c r="E696" s="10" t="n">
        <v>658</v>
      </c>
      <c r="F696" s="12" t="n">
        <v>77.5</v>
      </c>
      <c r="G696" s="12" t="n">
        <v>39.5</v>
      </c>
      <c r="H696" s="10" t="n">
        <v>5</v>
      </c>
      <c r="I696" s="10" t="n">
        <v>355</v>
      </c>
      <c r="J696" s="7" t="inlineStr">
        <is>
          <t>FL</t>
        </is>
      </c>
      <c r="K696" s="7" t="inlineStr">
        <is>
          <t>Condo</t>
        </is>
      </c>
      <c r="L696" s="7" t="inlineStr">
        <is>
          <t>Meridian Home Loans</t>
        </is>
      </c>
      <c r="M696" s="7" t="inlineStr">
        <is>
          <t>Northgate Servicing</t>
        </is>
      </c>
    </row>
    <row r="697">
      <c r="A697" s="5" t="inlineStr">
        <is>
          <t>L100692</t>
        </is>
      </c>
      <c r="B697" s="16" t="n">
        <v>338818.14</v>
      </c>
      <c r="C697" s="16" t="n">
        <v>335191.69</v>
      </c>
      <c r="D697" s="26" t="n">
        <v>6.255</v>
      </c>
      <c r="E697" s="6" t="n">
        <v>712</v>
      </c>
      <c r="F697" s="11" t="n">
        <v>77.2</v>
      </c>
      <c r="G697" s="11" t="n">
        <v>26.1</v>
      </c>
      <c r="H697" s="6" t="n">
        <v>11</v>
      </c>
      <c r="I697" s="6" t="n">
        <v>349</v>
      </c>
      <c r="J697" s="5" t="inlineStr">
        <is>
          <t>TX</t>
        </is>
      </c>
      <c r="K697" s="5" t="inlineStr">
        <is>
          <t>SFR</t>
        </is>
      </c>
      <c r="L697" s="5" t="inlineStr">
        <is>
          <t>Coastal Mortgage Co</t>
        </is>
      </c>
      <c r="M697" s="5" t="inlineStr">
        <is>
          <t>Summit Loan Servicing</t>
        </is>
      </c>
    </row>
    <row r="698">
      <c r="A698" s="7" t="inlineStr">
        <is>
          <t>L100693</t>
        </is>
      </c>
      <c r="B698" s="8" t="n">
        <v>110401.38</v>
      </c>
      <c r="C698" s="8" t="n">
        <v>105944.27</v>
      </c>
      <c r="D698" s="27" t="n">
        <v>5.997</v>
      </c>
      <c r="E698" s="10" t="n">
        <v>695</v>
      </c>
      <c r="F698" s="12" t="n">
        <v>65.09999999999999</v>
      </c>
      <c r="G698" s="12" t="n">
        <v>41</v>
      </c>
      <c r="H698" s="10" t="n">
        <v>37</v>
      </c>
      <c r="I698" s="10" t="n">
        <v>323</v>
      </c>
      <c r="J698" s="7" t="inlineStr">
        <is>
          <t>NY</t>
        </is>
      </c>
      <c r="K698" s="7" t="inlineStr">
        <is>
          <t>2-4 Unit</t>
        </is>
      </c>
      <c r="L698" s="7" t="inlineStr">
        <is>
          <t>Highline Capital</t>
        </is>
      </c>
      <c r="M698" s="7" t="inlineStr">
        <is>
          <t>Summit Loan Servicing</t>
        </is>
      </c>
    </row>
    <row r="699">
      <c r="A699" s="5" t="inlineStr">
        <is>
          <t>L100694</t>
        </is>
      </c>
      <c r="B699" s="16" t="n">
        <v>181798.32</v>
      </c>
      <c r="C699" s="16" t="n">
        <v>174892.91</v>
      </c>
      <c r="D699" s="26" t="n">
        <v>7.13</v>
      </c>
      <c r="E699" s="6" t="n">
        <v>792</v>
      </c>
      <c r="F699" s="11" t="n">
        <v>72.5</v>
      </c>
      <c r="G699" s="11" t="n">
        <v>32</v>
      </c>
      <c r="H699" s="6" t="n">
        <v>42</v>
      </c>
      <c r="I699" s="6" t="n">
        <v>318</v>
      </c>
      <c r="J699" s="5" t="inlineStr">
        <is>
          <t>NY</t>
        </is>
      </c>
      <c r="K699" s="5" t="inlineStr">
        <is>
          <t>SFR</t>
        </is>
      </c>
      <c r="L699" s="5" t="inlineStr">
        <is>
          <t>Coastal Mortgage Co</t>
        </is>
      </c>
      <c r="M699" s="5" t="inlineStr">
        <is>
          <t>Summit Loan Servicing</t>
        </is>
      </c>
    </row>
    <row r="700">
      <c r="A700" s="7" t="inlineStr">
        <is>
          <t>L100695</t>
        </is>
      </c>
      <c r="B700" s="8" t="n">
        <v>184638.34</v>
      </c>
      <c r="C700" s="8" t="n">
        <v>181423.69</v>
      </c>
      <c r="D700" s="27" t="n">
        <v>6.977</v>
      </c>
      <c r="E700" s="10" t="n">
        <v>767</v>
      </c>
      <c r="F700" s="12" t="n">
        <v>78.3</v>
      </c>
      <c r="G700" s="12" t="n">
        <v>27.3</v>
      </c>
      <c r="H700" s="10" t="n">
        <v>20</v>
      </c>
      <c r="I700" s="10" t="n">
        <v>340</v>
      </c>
      <c r="J700" s="7" t="inlineStr">
        <is>
          <t>FL</t>
        </is>
      </c>
      <c r="K700" s="7" t="inlineStr">
        <is>
          <t>SFR</t>
        </is>
      </c>
      <c r="L700" s="7" t="inlineStr">
        <is>
          <t>Highline Capital</t>
        </is>
      </c>
      <c r="M700" s="7" t="inlineStr">
        <is>
          <t>Pier Asset Mgmt</t>
        </is>
      </c>
    </row>
    <row r="701">
      <c r="A701" s="5" t="inlineStr">
        <is>
          <t>L100696</t>
        </is>
      </c>
      <c r="B701" s="16" t="n">
        <v>107783.02</v>
      </c>
      <c r="C701" s="16" t="n">
        <v>106068.17</v>
      </c>
      <c r="D701" s="26" t="n">
        <v>7.45</v>
      </c>
      <c r="E701" s="6" t="n">
        <v>742</v>
      </c>
      <c r="F701" s="11" t="n">
        <v>82.59999999999999</v>
      </c>
      <c r="G701" s="11" t="n">
        <v>33.7</v>
      </c>
      <c r="H701" s="6" t="n">
        <v>20</v>
      </c>
      <c r="I701" s="6" t="n">
        <v>340</v>
      </c>
      <c r="J701" s="5" t="inlineStr">
        <is>
          <t>WA</t>
        </is>
      </c>
      <c r="K701" s="5" t="inlineStr">
        <is>
          <t>SFR</t>
        </is>
      </c>
      <c r="L701" s="5" t="inlineStr">
        <is>
          <t>Coastal Mortgage Co</t>
        </is>
      </c>
      <c r="M701" s="5" t="inlineStr">
        <is>
          <t>Pier Asset Mgmt</t>
        </is>
      </c>
    </row>
    <row r="702">
      <c r="A702" s="7" t="inlineStr">
        <is>
          <t>L100697</t>
        </is>
      </c>
      <c r="B702" s="8" t="n">
        <v>173290.83</v>
      </c>
      <c r="C702" s="8" t="n">
        <v>168984.14</v>
      </c>
      <c r="D702" s="27" t="n">
        <v>6.102</v>
      </c>
      <c r="E702" s="10" t="n">
        <v>723</v>
      </c>
      <c r="F702" s="12" t="n">
        <v>72.90000000000001</v>
      </c>
      <c r="G702" s="12" t="n">
        <v>32.3</v>
      </c>
      <c r="H702" s="10" t="n">
        <v>24</v>
      </c>
      <c r="I702" s="10" t="n">
        <v>336</v>
      </c>
      <c r="J702" s="7" t="inlineStr">
        <is>
          <t>NC</t>
        </is>
      </c>
      <c r="K702" s="7" t="inlineStr">
        <is>
          <t>SFR</t>
        </is>
      </c>
      <c r="L702" s="7" t="inlineStr">
        <is>
          <t>Meridian Home Loans</t>
        </is>
      </c>
      <c r="M702" s="7" t="inlineStr">
        <is>
          <t>Northgate Servicing</t>
        </is>
      </c>
    </row>
    <row r="703">
      <c r="A703" s="5" t="inlineStr">
        <is>
          <t>L100698</t>
        </is>
      </c>
      <c r="B703" s="16" t="n">
        <v>176256.46</v>
      </c>
      <c r="C703" s="16" t="n">
        <v>154145.73</v>
      </c>
      <c r="D703" s="26" t="n">
        <v>7.482</v>
      </c>
      <c r="E703" s="6" t="n">
        <v>737</v>
      </c>
      <c r="F703" s="11" t="n">
        <v>86.90000000000001</v>
      </c>
      <c r="G703" s="11" t="n">
        <v>33.4</v>
      </c>
      <c r="H703" s="6" t="n">
        <v>37</v>
      </c>
      <c r="I703" s="6" t="n">
        <v>143</v>
      </c>
      <c r="J703" s="5" t="inlineStr">
        <is>
          <t>FL</t>
        </is>
      </c>
      <c r="K703" s="5" t="inlineStr">
        <is>
          <t>2-4 Unit</t>
        </is>
      </c>
      <c r="L703" s="5" t="inlineStr">
        <is>
          <t>Meridian Home Loans</t>
        </is>
      </c>
      <c r="M703" s="5" t="inlineStr">
        <is>
          <t>Summit Loan Servicing</t>
        </is>
      </c>
    </row>
    <row r="704">
      <c r="A704" s="7" t="inlineStr">
        <is>
          <t>L100699</t>
        </is>
      </c>
      <c r="B704" s="8" t="n">
        <v>226299.22</v>
      </c>
      <c r="C704" s="8" t="n">
        <v>219945.6</v>
      </c>
      <c r="D704" s="27" t="n">
        <v>5.172</v>
      </c>
      <c r="E704" s="10" t="n">
        <v>668</v>
      </c>
      <c r="F704" s="12" t="n">
        <v>74.09999999999999</v>
      </c>
      <c r="G704" s="12" t="n">
        <v>43.6</v>
      </c>
      <c r="H704" s="10" t="n">
        <v>23</v>
      </c>
      <c r="I704" s="10" t="n">
        <v>337</v>
      </c>
      <c r="J704" s="7" t="inlineStr">
        <is>
          <t>NC</t>
        </is>
      </c>
      <c r="K704" s="7" t="inlineStr">
        <is>
          <t>SFR</t>
        </is>
      </c>
      <c r="L704" s="7" t="inlineStr">
        <is>
          <t>Highline Capital</t>
        </is>
      </c>
      <c r="M704" s="7" t="inlineStr">
        <is>
          <t>Northgate Servicing</t>
        </is>
      </c>
    </row>
    <row r="705">
      <c r="A705" s="5" t="inlineStr">
        <is>
          <t>L100700</t>
        </is>
      </c>
      <c r="B705" s="16" t="n">
        <v>358447.71</v>
      </c>
      <c r="C705" s="16" t="n">
        <v>354612.41</v>
      </c>
      <c r="D705" s="26" t="n">
        <v>5.15</v>
      </c>
      <c r="E705" s="6" t="n">
        <v>762</v>
      </c>
      <c r="F705" s="11" t="n">
        <v>83.5</v>
      </c>
      <c r="G705" s="11" t="n">
        <v>29.7</v>
      </c>
      <c r="H705" s="6" t="n">
        <v>9</v>
      </c>
      <c r="I705" s="6" t="n">
        <v>351</v>
      </c>
      <c r="J705" s="5" t="inlineStr">
        <is>
          <t>AZ</t>
        </is>
      </c>
      <c r="K705" s="5" t="inlineStr">
        <is>
          <t>2-4 Unit</t>
        </is>
      </c>
      <c r="L705" s="5" t="inlineStr">
        <is>
          <t>Coastal Mortgage Co</t>
        </is>
      </c>
      <c r="M705" s="5" t="inlineStr">
        <is>
          <t>Northgate Servicing</t>
        </is>
      </c>
    </row>
    <row r="706">
      <c r="A706" s="7" t="inlineStr">
        <is>
          <t>L100701</t>
        </is>
      </c>
      <c r="B706" s="8" t="n">
        <v>222844.34</v>
      </c>
      <c r="C706" s="8" t="n">
        <v>217292.74</v>
      </c>
      <c r="D706" s="27" t="n">
        <v>5.308</v>
      </c>
      <c r="E706" s="10" t="n">
        <v>654</v>
      </c>
      <c r="F706" s="12" t="n">
        <v>68.09999999999999</v>
      </c>
      <c r="G706" s="12" t="n">
        <v>49.9</v>
      </c>
      <c r="H706" s="10" t="n">
        <v>21</v>
      </c>
      <c r="I706" s="10" t="n">
        <v>339</v>
      </c>
      <c r="J706" s="7" t="inlineStr">
        <is>
          <t>GA</t>
        </is>
      </c>
      <c r="K706" s="7" t="inlineStr">
        <is>
          <t>SFR</t>
        </is>
      </c>
      <c r="L706" s="7" t="inlineStr">
        <is>
          <t>Highline Capital</t>
        </is>
      </c>
      <c r="M706" s="7" t="inlineStr">
        <is>
          <t>Summit Loan Servicing</t>
        </is>
      </c>
    </row>
    <row r="707">
      <c r="A707" s="5" t="inlineStr">
        <is>
          <t>L100702</t>
        </is>
      </c>
      <c r="B707" s="16" t="n">
        <v>169264.05</v>
      </c>
      <c r="C707" s="16" t="n">
        <v>167338.88</v>
      </c>
      <c r="D707" s="26" t="n">
        <v>6.408</v>
      </c>
      <c r="E707" s="6" t="n">
        <v>761</v>
      </c>
      <c r="F707" s="11" t="n">
        <v>52.2</v>
      </c>
      <c r="G707" s="11" t="n">
        <v>25.4</v>
      </c>
      <c r="H707" s="6" t="n">
        <v>12</v>
      </c>
      <c r="I707" s="6" t="n">
        <v>348</v>
      </c>
      <c r="J707" s="5" t="inlineStr">
        <is>
          <t>WA</t>
        </is>
      </c>
      <c r="K707" s="5" t="inlineStr">
        <is>
          <t>SFR</t>
        </is>
      </c>
      <c r="L707" s="5" t="inlineStr">
        <is>
          <t>Highline Capital</t>
        </is>
      </c>
      <c r="M707" s="5" t="inlineStr">
        <is>
          <t>Northgate Servicing</t>
        </is>
      </c>
    </row>
    <row r="708">
      <c r="A708" s="7" t="inlineStr">
        <is>
          <t>L100703</t>
        </is>
      </c>
      <c r="B708" s="8" t="n">
        <v>238009.51</v>
      </c>
      <c r="C708" s="8" t="n">
        <v>231536.4</v>
      </c>
      <c r="D708" s="27" t="n">
        <v>7.482</v>
      </c>
      <c r="E708" s="10" t="n">
        <v>780</v>
      </c>
      <c r="F708" s="12" t="n">
        <v>77.2</v>
      </c>
      <c r="G708" s="12" t="n">
        <v>48.9</v>
      </c>
      <c r="H708" s="10" t="n">
        <v>33</v>
      </c>
      <c r="I708" s="10" t="n">
        <v>327</v>
      </c>
      <c r="J708" s="7" t="inlineStr">
        <is>
          <t>WA</t>
        </is>
      </c>
      <c r="K708" s="7" t="inlineStr">
        <is>
          <t>SFR</t>
        </is>
      </c>
      <c r="L708" s="7" t="inlineStr">
        <is>
          <t>Meridian Home Loans</t>
        </is>
      </c>
      <c r="M708" s="7" t="inlineStr">
        <is>
          <t>Pier Asset Mgmt</t>
        </is>
      </c>
    </row>
    <row r="709">
      <c r="A709" s="5" t="inlineStr">
        <is>
          <t>L100704</t>
        </is>
      </c>
      <c r="B709" s="16" t="n">
        <v>350533.22</v>
      </c>
      <c r="C709" s="16" t="n">
        <v>347986.36</v>
      </c>
      <c r="D709" s="26" t="n">
        <v>5.858</v>
      </c>
      <c r="E709" s="6" t="n">
        <v>727</v>
      </c>
      <c r="F709" s="11" t="n">
        <v>82.7</v>
      </c>
      <c r="G709" s="11" t="n">
        <v>27.9</v>
      </c>
      <c r="H709" s="6" t="n">
        <v>7</v>
      </c>
      <c r="I709" s="6" t="n">
        <v>353</v>
      </c>
      <c r="J709" s="5" t="inlineStr">
        <is>
          <t>IL</t>
        </is>
      </c>
      <c r="K709" s="5" t="inlineStr">
        <is>
          <t>Condo</t>
        </is>
      </c>
      <c r="L709" s="5" t="inlineStr">
        <is>
          <t>Coastal Mortgage Co</t>
        </is>
      </c>
      <c r="M709" s="5" t="inlineStr">
        <is>
          <t>Pier Asset Mgmt</t>
        </is>
      </c>
    </row>
    <row r="710">
      <c r="A710" s="7" t="inlineStr">
        <is>
          <t>L100705</t>
        </is>
      </c>
      <c r="B710" s="8" t="n">
        <v>172545.18</v>
      </c>
      <c r="C710" s="8" t="n">
        <v>167171.09</v>
      </c>
      <c r="D710" s="27" t="n">
        <v>5.971</v>
      </c>
      <c r="E710" s="10" t="n">
        <v>705</v>
      </c>
      <c r="F710" s="12" t="n">
        <v>80.90000000000001</v>
      </c>
      <c r="G710" s="12" t="n">
        <v>36</v>
      </c>
      <c r="H710" s="10" t="n">
        <v>29</v>
      </c>
      <c r="I710" s="10" t="n">
        <v>331</v>
      </c>
      <c r="J710" s="7" t="inlineStr">
        <is>
          <t>IL</t>
        </is>
      </c>
      <c r="K710" s="7" t="inlineStr">
        <is>
          <t>SFR</t>
        </is>
      </c>
      <c r="L710" s="7" t="inlineStr">
        <is>
          <t>Apex Funding</t>
        </is>
      </c>
      <c r="M710" s="7" t="inlineStr">
        <is>
          <t>Pier Asset Mgmt</t>
        </is>
      </c>
    </row>
    <row r="711">
      <c r="A711" s="5" t="inlineStr">
        <is>
          <t>L100706</t>
        </is>
      </c>
      <c r="B711" s="16" t="n">
        <v>176539.3</v>
      </c>
      <c r="C711" s="16" t="n">
        <v>175338.26</v>
      </c>
      <c r="D711" s="26" t="n">
        <v>6.206</v>
      </c>
      <c r="E711" s="6" t="n">
        <v>737</v>
      </c>
      <c r="F711" s="11" t="n">
        <v>79.09999999999999</v>
      </c>
      <c r="G711" s="11" t="n">
        <v>32.1</v>
      </c>
      <c r="H711" s="6" t="n">
        <v>7</v>
      </c>
      <c r="I711" s="6" t="n">
        <v>353</v>
      </c>
      <c r="J711" s="5" t="inlineStr">
        <is>
          <t>FL</t>
        </is>
      </c>
      <c r="K711" s="5" t="inlineStr">
        <is>
          <t>SFR</t>
        </is>
      </c>
      <c r="L711" s="5" t="inlineStr">
        <is>
          <t>Meridian Home Loans</t>
        </is>
      </c>
      <c r="M711" s="5" t="inlineStr">
        <is>
          <t>Pier Asset Mgmt</t>
        </is>
      </c>
    </row>
    <row r="712">
      <c r="A712" s="7" t="inlineStr">
        <is>
          <t>L100707</t>
        </is>
      </c>
      <c r="B712" s="8" t="n">
        <v>295224.73</v>
      </c>
      <c r="C712" s="8" t="n">
        <v>282307.51</v>
      </c>
      <c r="D712" s="27" t="n">
        <v>6.916</v>
      </c>
      <c r="E712" s="10" t="n">
        <v>580</v>
      </c>
      <c r="F712" s="12" t="n">
        <v>69.8</v>
      </c>
      <c r="G712" s="12" t="n">
        <v>33.3</v>
      </c>
      <c r="H712" s="10" t="n">
        <v>46</v>
      </c>
      <c r="I712" s="10" t="n">
        <v>314</v>
      </c>
      <c r="J712" s="7" t="inlineStr">
        <is>
          <t>AZ</t>
        </is>
      </c>
      <c r="K712" s="7" t="inlineStr">
        <is>
          <t>2-4 Unit</t>
        </is>
      </c>
      <c r="L712" s="7" t="inlineStr">
        <is>
          <t>Highline Capital</t>
        </is>
      </c>
      <c r="M712" s="7" t="inlineStr">
        <is>
          <t>Summit Loan Servicing</t>
        </is>
      </c>
    </row>
    <row r="713">
      <c r="A713" s="5" t="inlineStr">
        <is>
          <t>L100708</t>
        </is>
      </c>
      <c r="B713" s="16" t="n">
        <v>224686.72</v>
      </c>
      <c r="C713" s="16" t="n">
        <v>217166.51</v>
      </c>
      <c r="D713" s="26" t="n">
        <v>5.97</v>
      </c>
      <c r="E713" s="6" t="n">
        <v>732</v>
      </c>
      <c r="F713" s="11" t="n">
        <v>64.3</v>
      </c>
      <c r="G713" s="11" t="n">
        <v>42.4</v>
      </c>
      <c r="H713" s="6" t="n">
        <v>31</v>
      </c>
      <c r="I713" s="6" t="n">
        <v>329</v>
      </c>
      <c r="J713" s="5" t="inlineStr">
        <is>
          <t>WA</t>
        </is>
      </c>
      <c r="K713" s="5" t="inlineStr">
        <is>
          <t>SFR</t>
        </is>
      </c>
      <c r="L713" s="5" t="inlineStr">
        <is>
          <t>Meridian Home Loans</t>
        </is>
      </c>
      <c r="M713" s="5" t="inlineStr">
        <is>
          <t>Northgate Servicing</t>
        </is>
      </c>
    </row>
    <row r="714">
      <c r="A714" s="7" t="inlineStr">
        <is>
          <t>L100709</t>
        </is>
      </c>
      <c r="B714" s="8" t="n">
        <v>304558.86</v>
      </c>
      <c r="C714" s="8" t="n">
        <v>302371.69</v>
      </c>
      <c r="D714" s="27" t="n">
        <v>5.92</v>
      </c>
      <c r="E714" s="10" t="n">
        <v>709</v>
      </c>
      <c r="F714" s="12" t="n">
        <v>80.59999999999999</v>
      </c>
      <c r="G714" s="12" t="n">
        <v>48</v>
      </c>
      <c r="H714" s="10" t="n">
        <v>7</v>
      </c>
      <c r="I714" s="10" t="n">
        <v>353</v>
      </c>
      <c r="J714" s="7" t="inlineStr">
        <is>
          <t>NC</t>
        </is>
      </c>
      <c r="K714" s="7" t="inlineStr">
        <is>
          <t>SFR</t>
        </is>
      </c>
      <c r="L714" s="7" t="inlineStr">
        <is>
          <t>Highline Capital</t>
        </is>
      </c>
      <c r="M714" s="7" t="inlineStr">
        <is>
          <t>Northgate Servicing</t>
        </is>
      </c>
    </row>
    <row r="715">
      <c r="A715" s="5" t="inlineStr">
        <is>
          <t>L100710</t>
        </is>
      </c>
      <c r="B715" s="16" t="n">
        <v>241644.67</v>
      </c>
      <c r="C715" s="16" t="n">
        <v>227410.76</v>
      </c>
      <c r="D715" s="26" t="n">
        <v>5.189</v>
      </c>
      <c r="E715" s="6" t="n">
        <v>712</v>
      </c>
      <c r="F715" s="11" t="n">
        <v>79.09999999999999</v>
      </c>
      <c r="G715" s="11" t="n">
        <v>45.5</v>
      </c>
      <c r="H715" s="6" t="n">
        <v>46</v>
      </c>
      <c r="I715" s="6" t="n">
        <v>314</v>
      </c>
      <c r="J715" s="5" t="inlineStr">
        <is>
          <t>FL</t>
        </is>
      </c>
      <c r="K715" s="5" t="inlineStr">
        <is>
          <t>Condo</t>
        </is>
      </c>
      <c r="L715" s="5" t="inlineStr">
        <is>
          <t>Highline Capital</t>
        </is>
      </c>
      <c r="M715" s="5" t="inlineStr">
        <is>
          <t>Summit Loan Servicing</t>
        </is>
      </c>
    </row>
    <row r="716">
      <c r="A716" s="7" t="inlineStr">
        <is>
          <t>L100711</t>
        </is>
      </c>
      <c r="B716" s="8" t="n">
        <v>310389.2</v>
      </c>
      <c r="C716" s="8" t="n">
        <v>301294.58</v>
      </c>
      <c r="D716" s="27" t="n">
        <v>5.885</v>
      </c>
      <c r="E716" s="10" t="n">
        <v>754</v>
      </c>
      <c r="F716" s="12" t="n">
        <v>67.3</v>
      </c>
      <c r="G716" s="12" t="n">
        <v>32.8</v>
      </c>
      <c r="H716" s="10" t="n">
        <v>27</v>
      </c>
      <c r="I716" s="10" t="n">
        <v>333</v>
      </c>
      <c r="J716" s="7" t="inlineStr">
        <is>
          <t>GA</t>
        </is>
      </c>
      <c r="K716" s="7" t="inlineStr">
        <is>
          <t>SFR</t>
        </is>
      </c>
      <c r="L716" s="7" t="inlineStr">
        <is>
          <t>Apex Funding</t>
        </is>
      </c>
      <c r="M716" s="7" t="inlineStr">
        <is>
          <t>Summit Loan Servicing</t>
        </is>
      </c>
    </row>
    <row r="717">
      <c r="A717" s="5" t="inlineStr">
        <is>
          <t>L100712</t>
        </is>
      </c>
      <c r="B717" s="16" t="n">
        <v>169011.6</v>
      </c>
      <c r="C717" s="16" t="n">
        <v>152788.72</v>
      </c>
      <c r="D717" s="26" t="n">
        <v>7.46</v>
      </c>
      <c r="E717" s="6" t="n">
        <v>711</v>
      </c>
      <c r="F717" s="11" t="n">
        <v>87.3</v>
      </c>
      <c r="G717" s="11" t="n">
        <v>37.5</v>
      </c>
      <c r="H717" s="6" t="n">
        <v>29</v>
      </c>
      <c r="I717" s="6" t="n">
        <v>151</v>
      </c>
      <c r="J717" s="5" t="inlineStr">
        <is>
          <t>AZ</t>
        </is>
      </c>
      <c r="K717" s="5" t="inlineStr">
        <is>
          <t>SFR</t>
        </is>
      </c>
      <c r="L717" s="5" t="inlineStr">
        <is>
          <t>Highline Capital</t>
        </is>
      </c>
      <c r="M717" s="5" t="inlineStr">
        <is>
          <t>Northgate Servicing</t>
        </is>
      </c>
    </row>
    <row r="718">
      <c r="A718" s="7" t="inlineStr">
        <is>
          <t>L100713</t>
        </is>
      </c>
      <c r="B718" s="8" t="n">
        <v>241776.83</v>
      </c>
      <c r="C718" s="8" t="n">
        <v>241115.26</v>
      </c>
      <c r="D718" s="27" t="n">
        <v>6.482</v>
      </c>
      <c r="E718" s="10" t="n">
        <v>652</v>
      </c>
      <c r="F718" s="12" t="n">
        <v>63.4</v>
      </c>
      <c r="G718" s="12" t="n">
        <v>29.7</v>
      </c>
      <c r="H718" s="10" t="n">
        <v>3</v>
      </c>
      <c r="I718" s="10" t="n">
        <v>357</v>
      </c>
      <c r="J718" s="7" t="inlineStr">
        <is>
          <t>CA</t>
        </is>
      </c>
      <c r="K718" s="7" t="inlineStr">
        <is>
          <t>SFR</t>
        </is>
      </c>
      <c r="L718" s="7" t="inlineStr">
        <is>
          <t>Highline Capital</t>
        </is>
      </c>
      <c r="M718" s="7" t="inlineStr">
        <is>
          <t>Pier Asset Mgmt</t>
        </is>
      </c>
    </row>
    <row r="719">
      <c r="A719" s="5" t="inlineStr">
        <is>
          <t>L100714</t>
        </is>
      </c>
      <c r="B719" s="16" t="n">
        <v>225541.28</v>
      </c>
      <c r="C719" s="16" t="n">
        <v>223374.44</v>
      </c>
      <c r="D719" s="26" t="n">
        <v>5.734</v>
      </c>
      <c r="E719" s="6" t="n">
        <v>707</v>
      </c>
      <c r="F719" s="11" t="n">
        <v>67</v>
      </c>
      <c r="G719" s="11" t="n">
        <v>28.1</v>
      </c>
      <c r="H719" s="6" t="n">
        <v>9</v>
      </c>
      <c r="I719" s="6" t="n">
        <v>351</v>
      </c>
      <c r="J719" s="5" t="inlineStr">
        <is>
          <t>GA</t>
        </is>
      </c>
      <c r="K719" s="5" t="inlineStr">
        <is>
          <t>2-4 Unit</t>
        </is>
      </c>
      <c r="L719" s="5" t="inlineStr">
        <is>
          <t>Apex Funding</t>
        </is>
      </c>
      <c r="M719" s="5" t="inlineStr">
        <is>
          <t>Summit Loan Servicing</t>
        </is>
      </c>
    </row>
    <row r="720">
      <c r="A720" s="7" t="inlineStr">
        <is>
          <t>L100715</t>
        </is>
      </c>
      <c r="B720" s="8" t="n">
        <v>158647.2</v>
      </c>
      <c r="C720" s="8" t="n">
        <v>153626.83</v>
      </c>
      <c r="D720" s="27" t="n">
        <v>7.513</v>
      </c>
      <c r="E720" s="10" t="n">
        <v>719</v>
      </c>
      <c r="F720" s="12" t="n">
        <v>93.59999999999999</v>
      </c>
      <c r="G720" s="12" t="n">
        <v>26.8</v>
      </c>
      <c r="H720" s="10" t="n">
        <v>38</v>
      </c>
      <c r="I720" s="10" t="n">
        <v>322</v>
      </c>
      <c r="J720" s="7" t="inlineStr">
        <is>
          <t>NC</t>
        </is>
      </c>
      <c r="K720" s="7" t="inlineStr">
        <is>
          <t>SFR</t>
        </is>
      </c>
      <c r="L720" s="7" t="inlineStr">
        <is>
          <t>Apex Funding</t>
        </is>
      </c>
      <c r="M720" s="7" t="inlineStr">
        <is>
          <t>Northgate Servicing</t>
        </is>
      </c>
    </row>
    <row r="721">
      <c r="A721" s="5" t="inlineStr">
        <is>
          <t>L100716</t>
        </is>
      </c>
      <c r="B721" s="16" t="n">
        <v>140474.71</v>
      </c>
      <c r="C721" s="16" t="n">
        <v>137155.27</v>
      </c>
      <c r="D721" s="26" t="n">
        <v>5.873</v>
      </c>
      <c r="E721" s="6" t="n">
        <v>721</v>
      </c>
      <c r="F721" s="11" t="n">
        <v>84.40000000000001</v>
      </c>
      <c r="G721" s="11" t="n">
        <v>32.5</v>
      </c>
      <c r="H721" s="6" t="n">
        <v>22</v>
      </c>
      <c r="I721" s="6" t="n">
        <v>338</v>
      </c>
      <c r="J721" s="5" t="inlineStr">
        <is>
          <t>GA</t>
        </is>
      </c>
      <c r="K721" s="5" t="inlineStr">
        <is>
          <t>Condo</t>
        </is>
      </c>
      <c r="L721" s="5" t="inlineStr">
        <is>
          <t>Coastal Mortgage Co</t>
        </is>
      </c>
      <c r="M721" s="5" t="inlineStr">
        <is>
          <t>Summit Loan Servicing</t>
        </is>
      </c>
    </row>
    <row r="722">
      <c r="A722" s="7" t="inlineStr">
        <is>
          <t>L100717</t>
        </is>
      </c>
      <c r="B722" s="8" t="n">
        <v>308665.1</v>
      </c>
      <c r="C722" s="8" t="n">
        <v>301646.42</v>
      </c>
      <c r="D722" s="27" t="n">
        <v>7.678</v>
      </c>
      <c r="E722" s="10" t="n">
        <v>724</v>
      </c>
      <c r="F722" s="12" t="n">
        <v>69.7</v>
      </c>
      <c r="G722" s="12" t="n">
        <v>38</v>
      </c>
      <c r="H722" s="10" t="n">
        <v>29</v>
      </c>
      <c r="I722" s="10" t="n">
        <v>331</v>
      </c>
      <c r="J722" s="7" t="inlineStr">
        <is>
          <t>NC</t>
        </is>
      </c>
      <c r="K722" s="7" t="inlineStr">
        <is>
          <t>Condo</t>
        </is>
      </c>
      <c r="L722" s="7" t="inlineStr">
        <is>
          <t>Coastal Mortgage Co</t>
        </is>
      </c>
      <c r="M722" s="7" t="inlineStr">
        <is>
          <t>Summit Loan Servicing</t>
        </is>
      </c>
    </row>
    <row r="723">
      <c r="A723" s="5" t="inlineStr">
        <is>
          <t>L100718</t>
        </is>
      </c>
      <c r="B723" s="16" t="n">
        <v>214736.43</v>
      </c>
      <c r="C723" s="16" t="n">
        <v>179821.82</v>
      </c>
      <c r="D723" s="26" t="n">
        <v>7.663</v>
      </c>
      <c r="E723" s="6" t="n">
        <v>772</v>
      </c>
      <c r="F723" s="11" t="n">
        <v>77.40000000000001</v>
      </c>
      <c r="G723" s="11" t="n">
        <v>20.7</v>
      </c>
      <c r="H723" s="6" t="n">
        <v>47</v>
      </c>
      <c r="I723" s="6" t="n">
        <v>133</v>
      </c>
      <c r="J723" s="5" t="inlineStr">
        <is>
          <t>OH</t>
        </is>
      </c>
      <c r="K723" s="5" t="inlineStr">
        <is>
          <t>SFR</t>
        </is>
      </c>
      <c r="L723" s="5" t="inlineStr">
        <is>
          <t>Highline Capital</t>
        </is>
      </c>
      <c r="M723" s="5" t="inlineStr">
        <is>
          <t>Northgate Servicing</t>
        </is>
      </c>
    </row>
    <row r="724">
      <c r="A724" s="7" t="inlineStr">
        <is>
          <t>L100719</t>
        </is>
      </c>
      <c r="B724" s="8" t="n">
        <v>169770.35</v>
      </c>
      <c r="C724" s="8" t="n">
        <v>166334.91</v>
      </c>
      <c r="D724" s="27" t="n">
        <v>6.45</v>
      </c>
      <c r="E724" s="10" t="n">
        <v>655</v>
      </c>
      <c r="F724" s="12" t="n">
        <v>75.90000000000001</v>
      </c>
      <c r="G724" s="12" t="n">
        <v>35.6</v>
      </c>
      <c r="H724" s="10" t="n">
        <v>21</v>
      </c>
      <c r="I724" s="10" t="n">
        <v>339</v>
      </c>
      <c r="J724" s="7" t="inlineStr">
        <is>
          <t>TX</t>
        </is>
      </c>
      <c r="K724" s="7" t="inlineStr">
        <is>
          <t>SFR</t>
        </is>
      </c>
      <c r="L724" s="7" t="inlineStr">
        <is>
          <t>Meridian Home Loans</t>
        </is>
      </c>
      <c r="M724" s="7" t="inlineStr">
        <is>
          <t>Northgate Servicing</t>
        </is>
      </c>
    </row>
    <row r="725">
      <c r="A725" s="5" t="inlineStr">
        <is>
          <t>L100720</t>
        </is>
      </c>
      <c r="B725" s="16" t="n">
        <v>234764.31</v>
      </c>
      <c r="C725" s="16" t="n">
        <v>229550.5</v>
      </c>
      <c r="D725" s="26" t="n">
        <v>5.051</v>
      </c>
      <c r="E725" s="6" t="n">
        <v>725</v>
      </c>
      <c r="F725" s="11" t="n">
        <v>41.1</v>
      </c>
      <c r="G725" s="11" t="n">
        <v>48.1</v>
      </c>
      <c r="H725" s="6" t="n">
        <v>18</v>
      </c>
      <c r="I725" s="6" t="n">
        <v>342</v>
      </c>
      <c r="J725" s="5" t="inlineStr">
        <is>
          <t>GA</t>
        </is>
      </c>
      <c r="K725" s="5" t="inlineStr">
        <is>
          <t>Condo</t>
        </is>
      </c>
      <c r="L725" s="5" t="inlineStr">
        <is>
          <t>Coastal Mortgage Co</t>
        </is>
      </c>
      <c r="M725" s="5" t="inlineStr">
        <is>
          <t>Pier Asset Mgmt</t>
        </is>
      </c>
    </row>
    <row r="726">
      <c r="A726" s="7" t="inlineStr">
        <is>
          <t>L100721</t>
        </is>
      </c>
      <c r="B726" s="8" t="n">
        <v>360341.19</v>
      </c>
      <c r="C726" s="8" t="n">
        <v>350790.17</v>
      </c>
      <c r="D726" s="27" t="n">
        <v>8.461</v>
      </c>
      <c r="E726" s="10" t="n">
        <v>786</v>
      </c>
      <c r="F726" s="12" t="n">
        <v>63.1</v>
      </c>
      <c r="G726" s="12" t="n">
        <v>45</v>
      </c>
      <c r="H726" s="10" t="n">
        <v>38</v>
      </c>
      <c r="I726" s="10" t="n">
        <v>322</v>
      </c>
      <c r="J726" s="7" t="inlineStr">
        <is>
          <t>AZ</t>
        </is>
      </c>
      <c r="K726" s="7" t="inlineStr">
        <is>
          <t>SFR</t>
        </is>
      </c>
      <c r="L726" s="7" t="inlineStr">
        <is>
          <t>Apex Funding</t>
        </is>
      </c>
      <c r="M726" s="7" t="inlineStr">
        <is>
          <t>Pier Asset Mgmt</t>
        </is>
      </c>
    </row>
    <row r="727">
      <c r="A727" s="5" t="inlineStr">
        <is>
          <t>L100722</t>
        </is>
      </c>
      <c r="B727" s="16" t="n">
        <v>109287.99</v>
      </c>
      <c r="C727" s="16" t="n">
        <v>108908.35</v>
      </c>
      <c r="D727" s="26" t="n">
        <v>6.749</v>
      </c>
      <c r="E727" s="6" t="n">
        <v>620</v>
      </c>
      <c r="F727" s="11" t="n">
        <v>73.40000000000001</v>
      </c>
      <c r="G727" s="11" t="n">
        <v>31.3</v>
      </c>
      <c r="H727" s="6" t="n">
        <v>4</v>
      </c>
      <c r="I727" s="6" t="n">
        <v>356</v>
      </c>
      <c r="J727" s="5" t="inlineStr">
        <is>
          <t>OH</t>
        </is>
      </c>
      <c r="K727" s="5" t="inlineStr">
        <is>
          <t>SFR</t>
        </is>
      </c>
      <c r="L727" s="5" t="inlineStr">
        <is>
          <t>Coastal Mortgage Co</t>
        </is>
      </c>
      <c r="M727" s="5" t="inlineStr">
        <is>
          <t>Summit Loan Servicing</t>
        </is>
      </c>
    </row>
    <row r="728">
      <c r="A728" s="7" t="inlineStr">
        <is>
          <t>L100723</t>
        </is>
      </c>
      <c r="B728" s="8" t="n">
        <v>143799.67</v>
      </c>
      <c r="C728" s="8" t="n">
        <v>132426.01</v>
      </c>
      <c r="D728" s="27" t="n">
        <v>6.109</v>
      </c>
      <c r="E728" s="10" t="n">
        <v>725</v>
      </c>
      <c r="F728" s="12" t="n">
        <v>69.7</v>
      </c>
      <c r="G728" s="12" t="n">
        <v>24.8</v>
      </c>
      <c r="H728" s="10" t="n">
        <v>22</v>
      </c>
      <c r="I728" s="10" t="n">
        <v>158</v>
      </c>
      <c r="J728" s="7" t="inlineStr">
        <is>
          <t>IL</t>
        </is>
      </c>
      <c r="K728" s="7" t="inlineStr">
        <is>
          <t>SFR</t>
        </is>
      </c>
      <c r="L728" s="7" t="inlineStr">
        <is>
          <t>Coastal Mortgage Co</t>
        </is>
      </c>
      <c r="M728" s="7" t="inlineStr">
        <is>
          <t>Northgate Servicing</t>
        </is>
      </c>
    </row>
    <row r="729">
      <c r="A729" s="5" t="inlineStr">
        <is>
          <t>L100724</t>
        </is>
      </c>
      <c r="B729" s="16" t="n">
        <v>175780.22</v>
      </c>
      <c r="C729" s="16" t="n">
        <v>169434.86</v>
      </c>
      <c r="D729" s="26" t="n">
        <v>7.261</v>
      </c>
      <c r="E729" s="6" t="n">
        <v>683</v>
      </c>
      <c r="F729" s="11" t="n">
        <v>77</v>
      </c>
      <c r="G729" s="11" t="n">
        <v>39.7</v>
      </c>
      <c r="H729" s="6" t="n">
        <v>41</v>
      </c>
      <c r="I729" s="6" t="n">
        <v>319</v>
      </c>
      <c r="J729" s="5" t="inlineStr">
        <is>
          <t>WA</t>
        </is>
      </c>
      <c r="K729" s="5" t="inlineStr">
        <is>
          <t>2-4 Unit</t>
        </is>
      </c>
      <c r="L729" s="5" t="inlineStr">
        <is>
          <t>Apex Funding</t>
        </is>
      </c>
      <c r="M729" s="5" t="inlineStr">
        <is>
          <t>Pier Asset Mgmt</t>
        </is>
      </c>
    </row>
    <row r="730">
      <c r="A730" s="7" t="inlineStr">
        <is>
          <t>L100725</t>
        </is>
      </c>
      <c r="B730" s="8" t="n">
        <v>404906.96</v>
      </c>
      <c r="C730" s="8" t="n">
        <v>401170.88</v>
      </c>
      <c r="D730" s="27" t="n">
        <v>7.032</v>
      </c>
      <c r="E730" s="10" t="n">
        <v>695</v>
      </c>
      <c r="F730" s="12" t="n">
        <v>87.59999999999999</v>
      </c>
      <c r="G730" s="12" t="n">
        <v>17.5</v>
      </c>
      <c r="H730" s="10" t="n">
        <v>11</v>
      </c>
      <c r="I730" s="10" t="n">
        <v>349</v>
      </c>
      <c r="J730" s="7" t="inlineStr">
        <is>
          <t>NY</t>
        </is>
      </c>
      <c r="K730" s="7" t="inlineStr">
        <is>
          <t>SFR</t>
        </is>
      </c>
      <c r="L730" s="7" t="inlineStr">
        <is>
          <t>Coastal Mortgage Co</t>
        </is>
      </c>
      <c r="M730" s="7" t="inlineStr">
        <is>
          <t>Summit Loan Servicing</t>
        </is>
      </c>
    </row>
    <row r="731">
      <c r="A731" s="5" t="inlineStr">
        <is>
          <t>L100726</t>
        </is>
      </c>
      <c r="B731" s="16" t="n">
        <v>268043.74</v>
      </c>
      <c r="C731" s="16" t="n">
        <v>264973.83</v>
      </c>
      <c r="D731" s="26" t="n">
        <v>7.58</v>
      </c>
      <c r="E731" s="6" t="n">
        <v>665</v>
      </c>
      <c r="F731" s="11" t="n">
        <v>70.09999999999999</v>
      </c>
      <c r="G731" s="11" t="n">
        <v>44.9</v>
      </c>
      <c r="H731" s="6" t="n">
        <v>15</v>
      </c>
      <c r="I731" s="6" t="n">
        <v>345</v>
      </c>
      <c r="J731" s="5" t="inlineStr">
        <is>
          <t>IL</t>
        </is>
      </c>
      <c r="K731" s="5" t="inlineStr">
        <is>
          <t>SFR</t>
        </is>
      </c>
      <c r="L731" s="5" t="inlineStr">
        <is>
          <t>Highline Capital</t>
        </is>
      </c>
      <c r="M731" s="5" t="inlineStr">
        <is>
          <t>Pier Asset Mgmt</t>
        </is>
      </c>
    </row>
    <row r="732">
      <c r="A732" s="7" t="inlineStr">
        <is>
          <t>L100727</t>
        </is>
      </c>
      <c r="B732" s="8" t="n">
        <v>317604.14</v>
      </c>
      <c r="C732" s="8" t="n">
        <v>309639.61</v>
      </c>
      <c r="D732" s="27" t="n">
        <v>5.804</v>
      </c>
      <c r="E732" s="10" t="n">
        <v>706</v>
      </c>
      <c r="F732" s="12" t="n">
        <v>61.3</v>
      </c>
      <c r="G732" s="12" t="n">
        <v>34.3</v>
      </c>
      <c r="H732" s="10" t="n">
        <v>23</v>
      </c>
      <c r="I732" s="10" t="n">
        <v>337</v>
      </c>
      <c r="J732" s="7" t="inlineStr">
        <is>
          <t>OH</t>
        </is>
      </c>
      <c r="K732" s="7" t="inlineStr">
        <is>
          <t>SFR</t>
        </is>
      </c>
      <c r="L732" s="7" t="inlineStr">
        <is>
          <t>Meridian Home Loans</t>
        </is>
      </c>
      <c r="M732" s="7" t="inlineStr">
        <is>
          <t>Pier Asset Mgmt</t>
        </is>
      </c>
    </row>
    <row r="733">
      <c r="A733" s="5" t="inlineStr">
        <is>
          <t>L100728</t>
        </is>
      </c>
      <c r="B733" s="16" t="n">
        <v>162908.45</v>
      </c>
      <c r="C733" s="16" t="n">
        <v>162335.68</v>
      </c>
      <c r="D733" s="26" t="n">
        <v>6.687</v>
      </c>
      <c r="E733" s="6" t="n">
        <v>816</v>
      </c>
      <c r="F733" s="11" t="n">
        <v>77.90000000000001</v>
      </c>
      <c r="G733" s="11" t="n">
        <v>50.7</v>
      </c>
      <c r="H733" s="6" t="n">
        <v>4</v>
      </c>
      <c r="I733" s="6" t="n">
        <v>356</v>
      </c>
      <c r="J733" s="5" t="inlineStr">
        <is>
          <t>IL</t>
        </is>
      </c>
      <c r="K733" s="5" t="inlineStr">
        <is>
          <t>SFR</t>
        </is>
      </c>
      <c r="L733" s="5" t="inlineStr">
        <is>
          <t>Coastal Mortgage Co</t>
        </is>
      </c>
      <c r="M733" s="5" t="inlineStr">
        <is>
          <t>Summit Loan Servicing</t>
        </is>
      </c>
    </row>
    <row r="734">
      <c r="A734" s="7" t="inlineStr">
        <is>
          <t>L100729</t>
        </is>
      </c>
      <c r="B734" s="8" t="n">
        <v>164088.7</v>
      </c>
      <c r="C734" s="8" t="n">
        <v>163342.47</v>
      </c>
      <c r="D734" s="27" t="n">
        <v>5.333</v>
      </c>
      <c r="E734" s="10" t="n">
        <v>645</v>
      </c>
      <c r="F734" s="12" t="n">
        <v>70.09999999999999</v>
      </c>
      <c r="G734" s="12" t="n">
        <v>22.2</v>
      </c>
      <c r="H734" s="10" t="n">
        <v>4</v>
      </c>
      <c r="I734" s="10" t="n">
        <v>356</v>
      </c>
      <c r="J734" s="7" t="inlineStr">
        <is>
          <t>NY</t>
        </is>
      </c>
      <c r="K734" s="7" t="inlineStr">
        <is>
          <t>Multifamily</t>
        </is>
      </c>
      <c r="L734" s="7" t="inlineStr">
        <is>
          <t>Highline Capital</t>
        </is>
      </c>
      <c r="M734" s="7" t="inlineStr">
        <is>
          <t>Summit Loan Servicing</t>
        </is>
      </c>
    </row>
    <row r="735">
      <c r="A735" s="5" t="inlineStr">
        <is>
          <t>L100730</t>
        </is>
      </c>
      <c r="B735" s="16" t="n">
        <v>284001.5</v>
      </c>
      <c r="C735" s="16" t="n">
        <v>281116.59</v>
      </c>
      <c r="D735" s="26" t="n">
        <v>7</v>
      </c>
      <c r="E735" s="6" t="n">
        <v>651</v>
      </c>
      <c r="F735" s="11" t="n">
        <v>72.09999999999999</v>
      </c>
      <c r="G735" s="11" t="n">
        <v>43.3</v>
      </c>
      <c r="H735" s="6" t="n">
        <v>12</v>
      </c>
      <c r="I735" s="6" t="n">
        <v>348</v>
      </c>
      <c r="J735" s="5" t="inlineStr">
        <is>
          <t>GA</t>
        </is>
      </c>
      <c r="K735" s="5" t="inlineStr">
        <is>
          <t>SFR</t>
        </is>
      </c>
      <c r="L735" s="5" t="inlineStr">
        <is>
          <t>Coastal Mortgage Co</t>
        </is>
      </c>
      <c r="M735" s="5" t="inlineStr">
        <is>
          <t>Pier Asset Mgmt</t>
        </is>
      </c>
    </row>
    <row r="736">
      <c r="A736" s="7" t="inlineStr">
        <is>
          <t>L100731</t>
        </is>
      </c>
      <c r="B736" s="8" t="n">
        <v>247804.65</v>
      </c>
      <c r="C736" s="8" t="n">
        <v>208070.31</v>
      </c>
      <c r="D736" s="27" t="n">
        <v>6.379</v>
      </c>
      <c r="E736" s="10" t="n">
        <v>643</v>
      </c>
      <c r="F736" s="12" t="n">
        <v>70.5</v>
      </c>
      <c r="G736" s="12" t="n">
        <v>35.2</v>
      </c>
      <c r="H736" s="10" t="n">
        <v>43</v>
      </c>
      <c r="I736" s="10" t="n">
        <v>137</v>
      </c>
      <c r="J736" s="7" t="inlineStr">
        <is>
          <t>NC</t>
        </is>
      </c>
      <c r="K736" s="7" t="inlineStr">
        <is>
          <t>Condo</t>
        </is>
      </c>
      <c r="L736" s="7" t="inlineStr">
        <is>
          <t>Apex Funding</t>
        </is>
      </c>
      <c r="M736" s="7" t="inlineStr">
        <is>
          <t>Northgate Servicing</t>
        </is>
      </c>
    </row>
    <row r="737">
      <c r="A737" s="5" t="inlineStr">
        <is>
          <t>L100732</t>
        </is>
      </c>
      <c r="B737" s="16" t="n">
        <v>294212.8</v>
      </c>
      <c r="C737" s="16" t="n">
        <v>291292.97</v>
      </c>
      <c r="D737" s="26" t="n">
        <v>6.653</v>
      </c>
      <c r="E737" s="6" t="n">
        <v>810</v>
      </c>
      <c r="F737" s="11" t="n">
        <v>97</v>
      </c>
      <c r="G737" s="11" t="n">
        <v>33.4</v>
      </c>
      <c r="H737" s="6" t="n">
        <v>11</v>
      </c>
      <c r="I737" s="6" t="n">
        <v>349</v>
      </c>
      <c r="J737" s="5" t="inlineStr">
        <is>
          <t>WA</t>
        </is>
      </c>
      <c r="K737" s="5" t="inlineStr">
        <is>
          <t>Condo</t>
        </is>
      </c>
      <c r="L737" s="5" t="inlineStr">
        <is>
          <t>Apex Funding</t>
        </is>
      </c>
      <c r="M737" s="5" t="inlineStr">
        <is>
          <t>Pier Asset Mgmt</t>
        </is>
      </c>
    </row>
    <row r="738">
      <c r="A738" s="7" t="inlineStr">
        <is>
          <t>L100733</t>
        </is>
      </c>
      <c r="B738" s="8" t="n">
        <v>227365.73</v>
      </c>
      <c r="C738" s="8" t="n">
        <v>219133.03</v>
      </c>
      <c r="D738" s="27" t="n">
        <v>6.268</v>
      </c>
      <c r="E738" s="10" t="n">
        <v>690</v>
      </c>
      <c r="F738" s="12" t="n">
        <v>47.1</v>
      </c>
      <c r="G738" s="12" t="n">
        <v>25</v>
      </c>
      <c r="H738" s="10" t="n">
        <v>35</v>
      </c>
      <c r="I738" s="10" t="n">
        <v>325</v>
      </c>
      <c r="J738" s="7" t="inlineStr">
        <is>
          <t>NC</t>
        </is>
      </c>
      <c r="K738" s="7" t="inlineStr">
        <is>
          <t>SFR</t>
        </is>
      </c>
      <c r="L738" s="7" t="inlineStr">
        <is>
          <t>Coastal Mortgage Co</t>
        </is>
      </c>
      <c r="M738" s="7" t="inlineStr">
        <is>
          <t>Northgate Servicing</t>
        </is>
      </c>
    </row>
    <row r="739">
      <c r="A739" s="5" t="inlineStr">
        <is>
          <t>L100734</t>
        </is>
      </c>
      <c r="B739" s="16" t="n">
        <v>267627.22</v>
      </c>
      <c r="C739" s="16" t="n">
        <v>261928.26</v>
      </c>
      <c r="D739" s="26" t="n">
        <v>6.174</v>
      </c>
      <c r="E739" s="6" t="n">
        <v>714</v>
      </c>
      <c r="F739" s="11" t="n">
        <v>69.3</v>
      </c>
      <c r="G739" s="11" t="n">
        <v>40.8</v>
      </c>
      <c r="H739" s="6" t="n">
        <v>21</v>
      </c>
      <c r="I739" s="6" t="n">
        <v>339</v>
      </c>
      <c r="J739" s="5" t="inlineStr">
        <is>
          <t>TX</t>
        </is>
      </c>
      <c r="K739" s="5" t="inlineStr">
        <is>
          <t>Condo</t>
        </is>
      </c>
      <c r="L739" s="5" t="inlineStr">
        <is>
          <t>Apex Funding</t>
        </is>
      </c>
      <c r="M739" s="5" t="inlineStr">
        <is>
          <t>Northgate Servicing</t>
        </is>
      </c>
    </row>
    <row r="740">
      <c r="A740" s="7" t="inlineStr">
        <is>
          <t>L100735</t>
        </is>
      </c>
      <c r="B740" s="8" t="n">
        <v>256617.44</v>
      </c>
      <c r="C740" s="8" t="n">
        <v>245875.05</v>
      </c>
      <c r="D740" s="27" t="n">
        <v>5.619</v>
      </c>
      <c r="E740" s="10" t="n">
        <v>693</v>
      </c>
      <c r="F740" s="12" t="n">
        <v>74</v>
      </c>
      <c r="G740" s="12" t="n">
        <v>41.4</v>
      </c>
      <c r="H740" s="10" t="n">
        <v>36</v>
      </c>
      <c r="I740" s="10" t="n">
        <v>324</v>
      </c>
      <c r="J740" s="7" t="inlineStr">
        <is>
          <t>CA</t>
        </is>
      </c>
      <c r="K740" s="7" t="inlineStr">
        <is>
          <t>Multifamily</t>
        </is>
      </c>
      <c r="L740" s="7" t="inlineStr">
        <is>
          <t>Meridian Home Loans</t>
        </is>
      </c>
      <c r="M740" s="7" t="inlineStr">
        <is>
          <t>Summit Loan Servicing</t>
        </is>
      </c>
    </row>
    <row r="741">
      <c r="A741" s="5" t="inlineStr">
        <is>
          <t>L100736</t>
        </is>
      </c>
      <c r="B741" s="16" t="n">
        <v>318767.92</v>
      </c>
      <c r="C741" s="16" t="n">
        <v>314491.07</v>
      </c>
      <c r="D741" s="26" t="n">
        <v>7.111</v>
      </c>
      <c r="E741" s="6" t="n">
        <v>663</v>
      </c>
      <c r="F741" s="11" t="n">
        <v>64.59999999999999</v>
      </c>
      <c r="G741" s="11" t="n">
        <v>50.3</v>
      </c>
      <c r="H741" s="6" t="n">
        <v>16</v>
      </c>
      <c r="I741" s="6" t="n">
        <v>344</v>
      </c>
      <c r="J741" s="5" t="inlineStr">
        <is>
          <t>WA</t>
        </is>
      </c>
      <c r="K741" s="5" t="inlineStr">
        <is>
          <t>Condo</t>
        </is>
      </c>
      <c r="L741" s="5" t="inlineStr">
        <is>
          <t>Apex Funding</t>
        </is>
      </c>
      <c r="M741" s="5" t="inlineStr">
        <is>
          <t>Summit Loan Servicing</t>
        </is>
      </c>
    </row>
    <row r="742">
      <c r="A742" s="7" t="inlineStr">
        <is>
          <t>L100737</t>
        </is>
      </c>
      <c r="B742" s="8" t="n">
        <v>322047.04</v>
      </c>
      <c r="C742" s="8" t="n">
        <v>311102.5</v>
      </c>
      <c r="D742" s="27" t="n">
        <v>7.741</v>
      </c>
      <c r="E742" s="10" t="n">
        <v>702</v>
      </c>
      <c r="F742" s="12" t="n">
        <v>84.8</v>
      </c>
      <c r="G742" s="12" t="n">
        <v>44.1</v>
      </c>
      <c r="H742" s="10" t="n">
        <v>42</v>
      </c>
      <c r="I742" s="10" t="n">
        <v>318</v>
      </c>
      <c r="J742" s="7" t="inlineStr">
        <is>
          <t>IL</t>
        </is>
      </c>
      <c r="K742" s="7" t="inlineStr">
        <is>
          <t>Condo</t>
        </is>
      </c>
      <c r="L742" s="7" t="inlineStr">
        <is>
          <t>Meridian Home Loans</t>
        </is>
      </c>
      <c r="M742" s="7" t="inlineStr">
        <is>
          <t>Summit Loan Servicing</t>
        </is>
      </c>
    </row>
    <row r="743">
      <c r="A743" s="5" t="inlineStr">
        <is>
          <t>L100738</t>
        </is>
      </c>
      <c r="B743" s="16" t="n">
        <v>137729.21</v>
      </c>
      <c r="C743" s="16" t="n">
        <v>135105.23</v>
      </c>
      <c r="D743" s="26" t="n">
        <v>5.899</v>
      </c>
      <c r="E743" s="6" t="n">
        <v>820</v>
      </c>
      <c r="F743" s="11" t="n">
        <v>83.8</v>
      </c>
      <c r="G743" s="11" t="n">
        <v>31.2</v>
      </c>
      <c r="H743" s="6" t="n">
        <v>18</v>
      </c>
      <c r="I743" s="6" t="n">
        <v>342</v>
      </c>
      <c r="J743" s="5" t="inlineStr">
        <is>
          <t>FL</t>
        </is>
      </c>
      <c r="K743" s="5" t="inlineStr">
        <is>
          <t>SFR</t>
        </is>
      </c>
      <c r="L743" s="5" t="inlineStr">
        <is>
          <t>Apex Funding</t>
        </is>
      </c>
      <c r="M743" s="5" t="inlineStr">
        <is>
          <t>Summit Loan Servicing</t>
        </is>
      </c>
    </row>
    <row r="744">
      <c r="A744" s="7" t="inlineStr">
        <is>
          <t>L100739</t>
        </is>
      </c>
      <c r="B744" s="8" t="n">
        <v>110575.74</v>
      </c>
      <c r="C744" s="8" t="n">
        <v>106660.75</v>
      </c>
      <c r="D744" s="27" t="n">
        <v>6.898</v>
      </c>
      <c r="E744" s="10" t="n">
        <v>792</v>
      </c>
      <c r="F744" s="12" t="n">
        <v>73.40000000000001</v>
      </c>
      <c r="G744" s="12" t="n">
        <v>28</v>
      </c>
      <c r="H744" s="10" t="n">
        <v>38</v>
      </c>
      <c r="I744" s="10" t="n">
        <v>322</v>
      </c>
      <c r="J744" s="7" t="inlineStr">
        <is>
          <t>FL</t>
        </is>
      </c>
      <c r="K744" s="7" t="inlineStr">
        <is>
          <t>2-4 Unit</t>
        </is>
      </c>
      <c r="L744" s="7" t="inlineStr">
        <is>
          <t>Meridian Home Loans</t>
        </is>
      </c>
      <c r="M744" s="7" t="inlineStr">
        <is>
          <t>Summit Loan Servicing</t>
        </is>
      </c>
    </row>
    <row r="745">
      <c r="A745" s="5" t="inlineStr">
        <is>
          <t>L100740</t>
        </is>
      </c>
      <c r="B745" s="16" t="n">
        <v>344762.44</v>
      </c>
      <c r="C745" s="16" t="n">
        <v>295192.39</v>
      </c>
      <c r="D745" s="26" t="n">
        <v>6.789</v>
      </c>
      <c r="E745" s="6" t="n">
        <v>668</v>
      </c>
      <c r="F745" s="11" t="n">
        <v>70.8</v>
      </c>
      <c r="G745" s="11" t="n">
        <v>25.1</v>
      </c>
      <c r="H745" s="6" t="n">
        <v>40</v>
      </c>
      <c r="I745" s="6" t="n">
        <v>140</v>
      </c>
      <c r="J745" s="5" t="inlineStr">
        <is>
          <t>TX</t>
        </is>
      </c>
      <c r="K745" s="5" t="inlineStr">
        <is>
          <t>SFR</t>
        </is>
      </c>
      <c r="L745" s="5" t="inlineStr">
        <is>
          <t>Highline Capital</t>
        </is>
      </c>
      <c r="M745" s="5" t="inlineStr">
        <is>
          <t>Pier Asset Mgmt</t>
        </is>
      </c>
    </row>
    <row r="746">
      <c r="A746" s="7" t="inlineStr">
        <is>
          <t>L100741</t>
        </is>
      </c>
      <c r="B746" s="8" t="n">
        <v>367950.53</v>
      </c>
      <c r="C746" s="8" t="n">
        <v>360445.14</v>
      </c>
      <c r="D746" s="27" t="n">
        <v>6.407</v>
      </c>
      <c r="E746" s="10" t="n">
        <v>751</v>
      </c>
      <c r="F746" s="12" t="n">
        <v>72.7</v>
      </c>
      <c r="G746" s="12" t="n">
        <v>47.8</v>
      </c>
      <c r="H746" s="10" t="n">
        <v>21</v>
      </c>
      <c r="I746" s="10" t="n">
        <v>339</v>
      </c>
      <c r="J746" s="7" t="inlineStr">
        <is>
          <t>TX</t>
        </is>
      </c>
      <c r="K746" s="7" t="inlineStr">
        <is>
          <t>Condo</t>
        </is>
      </c>
      <c r="L746" s="7" t="inlineStr">
        <is>
          <t>Apex Funding</t>
        </is>
      </c>
      <c r="M746" s="7" t="inlineStr">
        <is>
          <t>Summit Loan Servicing</t>
        </is>
      </c>
    </row>
    <row r="747">
      <c r="A747" s="5" t="inlineStr">
        <is>
          <t>L100742</t>
        </is>
      </c>
      <c r="B747" s="16" t="n">
        <v>169868.85</v>
      </c>
      <c r="C747" s="16" t="n">
        <v>148201.89</v>
      </c>
      <c r="D747" s="26" t="n">
        <v>5.026</v>
      </c>
      <c r="E747" s="6" t="n">
        <v>669</v>
      </c>
      <c r="F747" s="11" t="n">
        <v>72.7</v>
      </c>
      <c r="G747" s="11" t="n">
        <v>29.8</v>
      </c>
      <c r="H747" s="6" t="n">
        <v>32</v>
      </c>
      <c r="I747" s="6" t="n">
        <v>148</v>
      </c>
      <c r="J747" s="5" t="inlineStr">
        <is>
          <t>AZ</t>
        </is>
      </c>
      <c r="K747" s="5" t="inlineStr">
        <is>
          <t>SFR</t>
        </is>
      </c>
      <c r="L747" s="5" t="inlineStr">
        <is>
          <t>Meridian Home Loans</t>
        </is>
      </c>
      <c r="M747" s="5" t="inlineStr">
        <is>
          <t>Northgate Servicing</t>
        </is>
      </c>
    </row>
    <row r="748">
      <c r="A748" s="7" t="inlineStr">
        <is>
          <t>L100743</t>
        </is>
      </c>
      <c r="B748" s="8" t="n">
        <v>126634.16</v>
      </c>
      <c r="C748" s="8" t="n">
        <v>125749.63</v>
      </c>
      <c r="D748" s="27" t="n">
        <v>5.229</v>
      </c>
      <c r="E748" s="10" t="n">
        <v>617</v>
      </c>
      <c r="F748" s="12" t="n">
        <v>73.09999999999999</v>
      </c>
      <c r="G748" s="12" t="n">
        <v>47.8</v>
      </c>
      <c r="H748" s="10" t="n">
        <v>6</v>
      </c>
      <c r="I748" s="10" t="n">
        <v>354</v>
      </c>
      <c r="J748" s="7" t="inlineStr">
        <is>
          <t>NC</t>
        </is>
      </c>
      <c r="K748" s="7" t="inlineStr">
        <is>
          <t>SFR</t>
        </is>
      </c>
      <c r="L748" s="7" t="inlineStr">
        <is>
          <t>Meridian Home Loans</t>
        </is>
      </c>
      <c r="M748" s="7" t="inlineStr">
        <is>
          <t>Northgate Servicing</t>
        </is>
      </c>
    </row>
    <row r="749">
      <c r="A749" s="5" t="inlineStr">
        <is>
          <t>L100744</t>
        </is>
      </c>
      <c r="B749" s="16" t="n">
        <v>251365.21</v>
      </c>
      <c r="C749" s="16" t="n">
        <v>244643.29</v>
      </c>
      <c r="D749" s="26" t="n">
        <v>5.697</v>
      </c>
      <c r="E749" s="6" t="n">
        <v>771</v>
      </c>
      <c r="F749" s="11" t="n">
        <v>71.7</v>
      </c>
      <c r="G749" s="11" t="n">
        <v>40.2</v>
      </c>
      <c r="H749" s="6" t="n">
        <v>24</v>
      </c>
      <c r="I749" s="6" t="n">
        <v>336</v>
      </c>
      <c r="J749" s="5" t="inlineStr">
        <is>
          <t>GA</t>
        </is>
      </c>
      <c r="K749" s="5" t="inlineStr">
        <is>
          <t>2-4 Unit</t>
        </is>
      </c>
      <c r="L749" s="5" t="inlineStr">
        <is>
          <t>Meridian Home Loans</t>
        </is>
      </c>
      <c r="M749" s="5" t="inlineStr">
        <is>
          <t>Summit Loan Servicing</t>
        </is>
      </c>
    </row>
    <row r="750">
      <c r="A750" s="7" t="inlineStr">
        <is>
          <t>L100745</t>
        </is>
      </c>
      <c r="B750" s="8" t="n">
        <v>336311.6</v>
      </c>
      <c r="C750" s="8" t="n">
        <v>328044.67</v>
      </c>
      <c r="D750" s="27" t="n">
        <v>4.475</v>
      </c>
      <c r="E750" s="10" t="n">
        <v>779</v>
      </c>
      <c r="F750" s="12" t="n">
        <v>77</v>
      </c>
      <c r="G750" s="12" t="n">
        <v>38.6</v>
      </c>
      <c r="H750" s="10" t="n">
        <v>18</v>
      </c>
      <c r="I750" s="10" t="n">
        <v>342</v>
      </c>
      <c r="J750" s="7" t="inlineStr">
        <is>
          <t>CA</t>
        </is>
      </c>
      <c r="K750" s="7" t="inlineStr">
        <is>
          <t>SFR</t>
        </is>
      </c>
      <c r="L750" s="7" t="inlineStr">
        <is>
          <t>Highline Capital</t>
        </is>
      </c>
      <c r="M750" s="7" t="inlineStr">
        <is>
          <t>Pier Asset Mgmt</t>
        </is>
      </c>
    </row>
    <row r="751">
      <c r="A751" s="5" t="inlineStr">
        <is>
          <t>L100746</t>
        </is>
      </c>
      <c r="B751" s="16" t="n">
        <v>455503.23</v>
      </c>
      <c r="C751" s="16" t="n">
        <v>438521.82</v>
      </c>
      <c r="D751" s="26" t="n">
        <v>7.667</v>
      </c>
      <c r="E751" s="6" t="n">
        <v>773</v>
      </c>
      <c r="F751" s="11" t="n">
        <v>83</v>
      </c>
      <c r="G751" s="11" t="n">
        <v>33.5</v>
      </c>
      <c r="H751" s="6" t="n">
        <v>45</v>
      </c>
      <c r="I751" s="6" t="n">
        <v>315</v>
      </c>
      <c r="J751" s="5" t="inlineStr">
        <is>
          <t>NC</t>
        </is>
      </c>
      <c r="K751" s="5" t="inlineStr">
        <is>
          <t>SFR</t>
        </is>
      </c>
      <c r="L751" s="5" t="inlineStr">
        <is>
          <t>Apex Funding</t>
        </is>
      </c>
      <c r="M751" s="5" t="inlineStr">
        <is>
          <t>Northgate Servicing</t>
        </is>
      </c>
    </row>
    <row r="752">
      <c r="A752" s="7" t="inlineStr">
        <is>
          <t>L100747</t>
        </is>
      </c>
      <c r="B752" s="8" t="n">
        <v>290891.07</v>
      </c>
      <c r="C752" s="8" t="n">
        <v>278385.16</v>
      </c>
      <c r="D752" s="27" t="n">
        <v>6.731</v>
      </c>
      <c r="E752" s="10" t="n">
        <v>689</v>
      </c>
      <c r="F752" s="12" t="n">
        <v>59.2</v>
      </c>
      <c r="G752" s="12" t="n">
        <v>41.3</v>
      </c>
      <c r="H752" s="10" t="n">
        <v>44</v>
      </c>
      <c r="I752" s="10" t="n">
        <v>316</v>
      </c>
      <c r="J752" s="7" t="inlineStr">
        <is>
          <t>WA</t>
        </is>
      </c>
      <c r="K752" s="7" t="inlineStr">
        <is>
          <t>Condo</t>
        </is>
      </c>
      <c r="L752" s="7" t="inlineStr">
        <is>
          <t>Coastal Mortgage Co</t>
        </is>
      </c>
      <c r="M752" s="7" t="inlineStr">
        <is>
          <t>Summit Loan Servicing</t>
        </is>
      </c>
    </row>
    <row r="753">
      <c r="A753" s="5" t="inlineStr">
        <is>
          <t>L100748</t>
        </is>
      </c>
      <c r="B753" s="16" t="n">
        <v>213181.49</v>
      </c>
      <c r="C753" s="16" t="n">
        <v>205129.11</v>
      </c>
      <c r="D753" s="26" t="n">
        <v>6.373</v>
      </c>
      <c r="E753" s="6" t="n">
        <v>706</v>
      </c>
      <c r="F753" s="11" t="n">
        <v>61.4</v>
      </c>
      <c r="G753" s="11" t="n">
        <v>35.9</v>
      </c>
      <c r="H753" s="6" t="n">
        <v>37</v>
      </c>
      <c r="I753" s="6" t="n">
        <v>323</v>
      </c>
      <c r="J753" s="5" t="inlineStr">
        <is>
          <t>WA</t>
        </is>
      </c>
      <c r="K753" s="5" t="inlineStr">
        <is>
          <t>Multifamily</t>
        </is>
      </c>
      <c r="L753" s="5" t="inlineStr">
        <is>
          <t>Coastal Mortgage Co</t>
        </is>
      </c>
      <c r="M753" s="5" t="inlineStr">
        <is>
          <t>Summit Loan Servicing</t>
        </is>
      </c>
    </row>
    <row r="754">
      <c r="A754" s="7" t="inlineStr">
        <is>
          <t>L100749</t>
        </is>
      </c>
      <c r="B754" s="8" t="n">
        <v>177620.46</v>
      </c>
      <c r="C754" s="8" t="n">
        <v>166045.17</v>
      </c>
      <c r="D754" s="27" t="n">
        <v>4.429</v>
      </c>
      <c r="E754" s="10" t="n">
        <v>756</v>
      </c>
      <c r="F754" s="12" t="n">
        <v>53</v>
      </c>
      <c r="G754" s="12" t="n">
        <v>33</v>
      </c>
      <c r="H754" s="10" t="n">
        <v>45</v>
      </c>
      <c r="I754" s="10" t="n">
        <v>315</v>
      </c>
      <c r="J754" s="7" t="inlineStr">
        <is>
          <t>NY</t>
        </is>
      </c>
      <c r="K754" s="7" t="inlineStr">
        <is>
          <t>SFR</t>
        </is>
      </c>
      <c r="L754" s="7" t="inlineStr">
        <is>
          <t>Meridian Home Loans</t>
        </is>
      </c>
      <c r="M754" s="7" t="inlineStr">
        <is>
          <t>Pier Asset Mgmt</t>
        </is>
      </c>
    </row>
    <row r="755">
      <c r="A755" s="5" t="inlineStr">
        <is>
          <t>L100750</t>
        </is>
      </c>
      <c r="B755" s="16" t="n">
        <v>243776.71</v>
      </c>
      <c r="C755" s="16" t="n">
        <v>228358.36</v>
      </c>
      <c r="D755" s="26" t="n">
        <v>4.759</v>
      </c>
      <c r="E755" s="6" t="n">
        <v>737</v>
      </c>
      <c r="F755" s="11" t="n">
        <v>84.40000000000001</v>
      </c>
      <c r="G755" s="11" t="n">
        <v>41.6</v>
      </c>
      <c r="H755" s="6" t="n">
        <v>46</v>
      </c>
      <c r="I755" s="6" t="n">
        <v>314</v>
      </c>
      <c r="J755" s="5" t="inlineStr">
        <is>
          <t>NC</t>
        </is>
      </c>
      <c r="K755" s="5" t="inlineStr">
        <is>
          <t>2-4 Unit</t>
        </is>
      </c>
      <c r="L755" s="5" t="inlineStr">
        <is>
          <t>Meridian Home Loans</t>
        </is>
      </c>
      <c r="M755" s="5" t="inlineStr">
        <is>
          <t>Northgate Servicing</t>
        </is>
      </c>
    </row>
    <row r="756">
      <c r="A756" s="7" t="inlineStr">
        <is>
          <t>L100751</t>
        </is>
      </c>
      <c r="B756" s="8" t="n">
        <v>218656.52</v>
      </c>
      <c r="C756" s="8" t="n">
        <v>210434.04</v>
      </c>
      <c r="D756" s="27" t="n">
        <v>6.398</v>
      </c>
      <c r="E756" s="10" t="n">
        <v>693</v>
      </c>
      <c r="F756" s="12" t="n">
        <v>77</v>
      </c>
      <c r="G756" s="12" t="n">
        <v>34.8</v>
      </c>
      <c r="H756" s="10" t="n">
        <v>37</v>
      </c>
      <c r="I756" s="10" t="n">
        <v>323</v>
      </c>
      <c r="J756" s="7" t="inlineStr">
        <is>
          <t>FL</t>
        </is>
      </c>
      <c r="K756" s="7" t="inlineStr">
        <is>
          <t>2-4 Unit</t>
        </is>
      </c>
      <c r="L756" s="7" t="inlineStr">
        <is>
          <t>Highline Capital</t>
        </is>
      </c>
      <c r="M756" s="7" t="inlineStr">
        <is>
          <t>Northgate Servicing</t>
        </is>
      </c>
    </row>
    <row r="757">
      <c r="A757" s="5" t="inlineStr">
        <is>
          <t>L100752</t>
        </is>
      </c>
      <c r="B757" s="16" t="n">
        <v>170199.44</v>
      </c>
      <c r="C757" s="16" t="n">
        <v>155313.59</v>
      </c>
      <c r="D757" s="26" t="n">
        <v>8.173</v>
      </c>
      <c r="E757" s="6" t="n">
        <v>626</v>
      </c>
      <c r="F757" s="11" t="n">
        <v>80.09999999999999</v>
      </c>
      <c r="G757" s="11" t="n">
        <v>29.6</v>
      </c>
      <c r="H757" s="6" t="n">
        <v>28</v>
      </c>
      <c r="I757" s="6" t="n">
        <v>152</v>
      </c>
      <c r="J757" s="5" t="inlineStr">
        <is>
          <t>OH</t>
        </is>
      </c>
      <c r="K757" s="5" t="inlineStr">
        <is>
          <t>2-4 Unit</t>
        </is>
      </c>
      <c r="L757" s="5" t="inlineStr">
        <is>
          <t>Apex Funding</t>
        </is>
      </c>
      <c r="M757" s="5" t="inlineStr">
        <is>
          <t>Northgate Servicing</t>
        </is>
      </c>
    </row>
    <row r="758">
      <c r="A758" s="7" t="inlineStr">
        <is>
          <t>L100753</t>
        </is>
      </c>
      <c r="B758" s="8" t="n">
        <v>497357.56</v>
      </c>
      <c r="C758" s="8" t="n">
        <v>492072.11</v>
      </c>
      <c r="D758" s="27" t="n">
        <v>5.771</v>
      </c>
      <c r="E758" s="10" t="n">
        <v>721</v>
      </c>
      <c r="F758" s="12" t="n">
        <v>56.8</v>
      </c>
      <c r="G758" s="12" t="n">
        <v>40.8</v>
      </c>
      <c r="H758" s="10" t="n">
        <v>10</v>
      </c>
      <c r="I758" s="10" t="n">
        <v>350</v>
      </c>
      <c r="J758" s="7" t="inlineStr">
        <is>
          <t>WA</t>
        </is>
      </c>
      <c r="K758" s="7" t="inlineStr">
        <is>
          <t>SFR</t>
        </is>
      </c>
      <c r="L758" s="7" t="inlineStr">
        <is>
          <t>Coastal Mortgage Co</t>
        </is>
      </c>
      <c r="M758" s="7" t="inlineStr">
        <is>
          <t>Summit Loan Servicing</t>
        </is>
      </c>
    </row>
    <row r="759">
      <c r="A759" s="5" t="inlineStr">
        <is>
          <t>L100754</t>
        </is>
      </c>
      <c r="B759" s="16" t="n">
        <v>453526.48</v>
      </c>
      <c r="C759" s="16" t="n">
        <v>437812.28</v>
      </c>
      <c r="D759" s="26" t="n">
        <v>7.177</v>
      </c>
      <c r="E759" s="6" t="n">
        <v>774</v>
      </c>
      <c r="F759" s="11" t="n">
        <v>95.40000000000001</v>
      </c>
      <c r="G759" s="11" t="n">
        <v>35.5</v>
      </c>
      <c r="H759" s="6" t="n">
        <v>39</v>
      </c>
      <c r="I759" s="6" t="n">
        <v>321</v>
      </c>
      <c r="J759" s="5" t="inlineStr">
        <is>
          <t>FL</t>
        </is>
      </c>
      <c r="K759" s="5" t="inlineStr">
        <is>
          <t>SFR</t>
        </is>
      </c>
      <c r="L759" s="5" t="inlineStr">
        <is>
          <t>Meridian Home Loans</t>
        </is>
      </c>
      <c r="M759" s="5" t="inlineStr">
        <is>
          <t>Summit Loan Servicing</t>
        </is>
      </c>
    </row>
    <row r="760">
      <c r="A760" s="7" t="inlineStr">
        <is>
          <t>L100755</t>
        </is>
      </c>
      <c r="B760" s="8" t="n">
        <v>361355.33</v>
      </c>
      <c r="C760" s="8" t="n">
        <v>357653.86</v>
      </c>
      <c r="D760" s="27" t="n">
        <v>5.968</v>
      </c>
      <c r="E760" s="10" t="n">
        <v>649</v>
      </c>
      <c r="F760" s="12" t="n">
        <v>66.7</v>
      </c>
      <c r="G760" s="12" t="n">
        <v>39.9</v>
      </c>
      <c r="H760" s="10" t="n">
        <v>10</v>
      </c>
      <c r="I760" s="10" t="n">
        <v>350</v>
      </c>
      <c r="J760" s="7" t="inlineStr">
        <is>
          <t>IL</t>
        </is>
      </c>
      <c r="K760" s="7" t="inlineStr">
        <is>
          <t>2-4 Unit</t>
        </is>
      </c>
      <c r="L760" s="7" t="inlineStr">
        <is>
          <t>Coastal Mortgage Co</t>
        </is>
      </c>
      <c r="M760" s="7" t="inlineStr">
        <is>
          <t>Northgate Servicing</t>
        </is>
      </c>
    </row>
    <row r="761">
      <c r="A761" s="5" t="inlineStr">
        <is>
          <t>L100756</t>
        </is>
      </c>
      <c r="B761" s="16" t="n">
        <v>175905.53</v>
      </c>
      <c r="C761" s="16" t="n">
        <v>174428.91</v>
      </c>
      <c r="D761" s="26" t="n">
        <v>6.45</v>
      </c>
      <c r="E761" s="6" t="n">
        <v>750</v>
      </c>
      <c r="F761" s="11" t="n">
        <v>76</v>
      </c>
      <c r="G761" s="11" t="n">
        <v>32.4</v>
      </c>
      <c r="H761" s="6" t="n">
        <v>9</v>
      </c>
      <c r="I761" s="6" t="n">
        <v>351</v>
      </c>
      <c r="J761" s="5" t="inlineStr">
        <is>
          <t>FL</t>
        </is>
      </c>
      <c r="K761" s="5" t="inlineStr">
        <is>
          <t>2-4 Unit</t>
        </is>
      </c>
      <c r="L761" s="5" t="inlineStr">
        <is>
          <t>Coastal Mortgage Co</t>
        </is>
      </c>
      <c r="M761" s="5" t="inlineStr">
        <is>
          <t>Northgate Servicing</t>
        </is>
      </c>
    </row>
    <row r="762">
      <c r="A762" s="7" t="inlineStr">
        <is>
          <t>L100757</t>
        </is>
      </c>
      <c r="B762" s="8" t="n">
        <v>327504.4</v>
      </c>
      <c r="C762" s="8" t="n">
        <v>315857.28</v>
      </c>
      <c r="D762" s="27" t="n">
        <v>7.493</v>
      </c>
      <c r="E762" s="10" t="n">
        <v>733</v>
      </c>
      <c r="F762" s="12" t="n">
        <v>84.3</v>
      </c>
      <c r="G762" s="12" t="n">
        <v>26.3</v>
      </c>
      <c r="H762" s="10" t="n">
        <v>42</v>
      </c>
      <c r="I762" s="10" t="n">
        <v>318</v>
      </c>
      <c r="J762" s="7" t="inlineStr">
        <is>
          <t>NC</t>
        </is>
      </c>
      <c r="K762" s="7" t="inlineStr">
        <is>
          <t>SFR</t>
        </is>
      </c>
      <c r="L762" s="7" t="inlineStr">
        <is>
          <t>Meridian Home Loans</t>
        </is>
      </c>
      <c r="M762" s="7" t="inlineStr">
        <is>
          <t>Summit Loan Servicing</t>
        </is>
      </c>
    </row>
    <row r="763">
      <c r="A763" s="5" t="inlineStr">
        <is>
          <t>L100758</t>
        </is>
      </c>
      <c r="B763" s="16" t="n">
        <v>303722.35</v>
      </c>
      <c r="C763" s="16" t="n">
        <v>301916.1</v>
      </c>
      <c r="D763" s="26" t="n">
        <v>6.089</v>
      </c>
      <c r="E763" s="6" t="n">
        <v>756</v>
      </c>
      <c r="F763" s="11" t="n">
        <v>62.2</v>
      </c>
      <c r="G763" s="11" t="n">
        <v>49.9</v>
      </c>
      <c r="H763" s="6" t="n">
        <v>6</v>
      </c>
      <c r="I763" s="6" t="n">
        <v>354</v>
      </c>
      <c r="J763" s="5" t="inlineStr">
        <is>
          <t>FL</t>
        </is>
      </c>
      <c r="K763" s="5" t="inlineStr">
        <is>
          <t>SFR</t>
        </is>
      </c>
      <c r="L763" s="5" t="inlineStr">
        <is>
          <t>Apex Funding</t>
        </is>
      </c>
      <c r="M763" s="5" t="inlineStr">
        <is>
          <t>Northgate Servicing</t>
        </is>
      </c>
    </row>
    <row r="764">
      <c r="A764" s="7" t="inlineStr">
        <is>
          <t>L100759</t>
        </is>
      </c>
      <c r="B764" s="8" t="n">
        <v>283478.33</v>
      </c>
      <c r="C764" s="8" t="n">
        <v>281387.91</v>
      </c>
      <c r="D764" s="27" t="n">
        <v>5.779</v>
      </c>
      <c r="E764" s="10" t="n">
        <v>763</v>
      </c>
      <c r="F764" s="12" t="n">
        <v>67.40000000000001</v>
      </c>
      <c r="G764" s="12" t="n">
        <v>48.4</v>
      </c>
      <c r="H764" s="10" t="n">
        <v>7</v>
      </c>
      <c r="I764" s="10" t="n">
        <v>353</v>
      </c>
      <c r="J764" s="7" t="inlineStr">
        <is>
          <t>NC</t>
        </is>
      </c>
      <c r="K764" s="7" t="inlineStr">
        <is>
          <t>SFR</t>
        </is>
      </c>
      <c r="L764" s="7" t="inlineStr">
        <is>
          <t>Apex Funding</t>
        </is>
      </c>
      <c r="M764" s="7" t="inlineStr">
        <is>
          <t>Northgate Servicing</t>
        </is>
      </c>
    </row>
    <row r="765">
      <c r="A765" s="5" t="inlineStr">
        <is>
          <t>L100760</t>
        </is>
      </c>
      <c r="B765" s="16" t="n">
        <v>376014.45</v>
      </c>
      <c r="C765" s="16" t="n">
        <v>345805.28</v>
      </c>
      <c r="D765" s="26" t="n">
        <v>7.676</v>
      </c>
      <c r="E765" s="6" t="n">
        <v>677</v>
      </c>
      <c r="F765" s="11" t="n">
        <v>76.2</v>
      </c>
      <c r="G765" s="11" t="n">
        <v>43.1</v>
      </c>
      <c r="H765" s="6" t="n">
        <v>25</v>
      </c>
      <c r="I765" s="6" t="n">
        <v>155</v>
      </c>
      <c r="J765" s="5" t="inlineStr">
        <is>
          <t>WA</t>
        </is>
      </c>
      <c r="K765" s="5" t="inlineStr">
        <is>
          <t>Condo</t>
        </is>
      </c>
      <c r="L765" s="5" t="inlineStr">
        <is>
          <t>Highline Capital</t>
        </is>
      </c>
      <c r="M765" s="5" t="inlineStr">
        <is>
          <t>Summit Loan Servicing</t>
        </is>
      </c>
    </row>
    <row r="766">
      <c r="A766" s="7" t="inlineStr">
        <is>
          <t>L100761</t>
        </is>
      </c>
      <c r="B766" s="8" t="n">
        <v>303270.34</v>
      </c>
      <c r="C766" s="8" t="n">
        <v>294915.67</v>
      </c>
      <c r="D766" s="27" t="n">
        <v>6.441</v>
      </c>
      <c r="E766" s="10" t="n">
        <v>626</v>
      </c>
      <c r="F766" s="12" t="n">
        <v>97</v>
      </c>
      <c r="G766" s="12" t="n">
        <v>32.9</v>
      </c>
      <c r="H766" s="10" t="n">
        <v>28</v>
      </c>
      <c r="I766" s="10" t="n">
        <v>332</v>
      </c>
      <c r="J766" s="7" t="inlineStr">
        <is>
          <t>OH</t>
        </is>
      </c>
      <c r="K766" s="7" t="inlineStr">
        <is>
          <t>2-4 Unit</t>
        </is>
      </c>
      <c r="L766" s="7" t="inlineStr">
        <is>
          <t>Coastal Mortgage Co</t>
        </is>
      </c>
      <c r="M766" s="7" t="inlineStr">
        <is>
          <t>Northgate Servicing</t>
        </is>
      </c>
    </row>
    <row r="767">
      <c r="A767" s="5" t="inlineStr">
        <is>
          <t>L100762</t>
        </is>
      </c>
      <c r="B767" s="16" t="n">
        <v>314583.55</v>
      </c>
      <c r="C767" s="16" t="n">
        <v>311685.92</v>
      </c>
      <c r="D767" s="26" t="n">
        <v>7.382</v>
      </c>
      <c r="E767" s="6" t="n">
        <v>686</v>
      </c>
      <c r="F767" s="11" t="n">
        <v>77.59999999999999</v>
      </c>
      <c r="G767" s="11" t="n">
        <v>33.6</v>
      </c>
      <c r="H767" s="6" t="n">
        <v>3</v>
      </c>
      <c r="I767" s="6" t="n">
        <v>177</v>
      </c>
      <c r="J767" s="5" t="inlineStr">
        <is>
          <t>TX</t>
        </is>
      </c>
      <c r="K767" s="5" t="inlineStr">
        <is>
          <t>SFR</t>
        </is>
      </c>
      <c r="L767" s="5" t="inlineStr">
        <is>
          <t>Coastal Mortgage Co</t>
        </is>
      </c>
      <c r="M767" s="5" t="inlineStr">
        <is>
          <t>Summit Loan Servicing</t>
        </is>
      </c>
    </row>
    <row r="768">
      <c r="A768" s="7" t="inlineStr">
        <is>
          <t>L100763</t>
        </is>
      </c>
      <c r="B768" s="8" t="n">
        <v>303433.33</v>
      </c>
      <c r="C768" s="8" t="n">
        <v>297528.28</v>
      </c>
      <c r="D768" s="27" t="n">
        <v>5.783</v>
      </c>
      <c r="E768" s="10" t="n">
        <v>764</v>
      </c>
      <c r="F768" s="12" t="n">
        <v>93.3</v>
      </c>
      <c r="G768" s="12" t="n">
        <v>47.1</v>
      </c>
      <c r="H768" s="10" t="n">
        <v>18</v>
      </c>
      <c r="I768" s="10" t="n">
        <v>342</v>
      </c>
      <c r="J768" s="7" t="inlineStr">
        <is>
          <t>TX</t>
        </is>
      </c>
      <c r="K768" s="7" t="inlineStr">
        <is>
          <t>SFR</t>
        </is>
      </c>
      <c r="L768" s="7" t="inlineStr">
        <is>
          <t>Highline Capital</t>
        </is>
      </c>
      <c r="M768" s="7" t="inlineStr">
        <is>
          <t>Northgate Servicing</t>
        </is>
      </c>
    </row>
    <row r="769">
      <c r="A769" s="5" t="inlineStr">
        <is>
          <t>L100764</t>
        </is>
      </c>
      <c r="B769" s="16" t="n">
        <v>273560.2</v>
      </c>
      <c r="C769" s="16" t="n">
        <v>271329.8</v>
      </c>
      <c r="D769" s="26" t="n">
        <v>7.666</v>
      </c>
      <c r="E769" s="6" t="n">
        <v>685</v>
      </c>
      <c r="F769" s="11" t="n">
        <v>88.5</v>
      </c>
      <c r="G769" s="11" t="n">
        <v>33.2</v>
      </c>
      <c r="H769" s="6" t="n">
        <v>11</v>
      </c>
      <c r="I769" s="6" t="n">
        <v>349</v>
      </c>
      <c r="J769" s="5" t="inlineStr">
        <is>
          <t>OH</t>
        </is>
      </c>
      <c r="K769" s="5" t="inlineStr">
        <is>
          <t>SFR</t>
        </is>
      </c>
      <c r="L769" s="5" t="inlineStr">
        <is>
          <t>Coastal Mortgage Co</t>
        </is>
      </c>
      <c r="M769" s="5" t="inlineStr">
        <is>
          <t>Summit Loan Servicing</t>
        </is>
      </c>
    </row>
    <row r="770">
      <c r="A770" s="7" t="inlineStr">
        <is>
          <t>L100765</t>
        </is>
      </c>
      <c r="B770" s="8" t="n">
        <v>130058.04</v>
      </c>
      <c r="C770" s="8" t="n">
        <v>128275.8</v>
      </c>
      <c r="D770" s="27" t="n">
        <v>6.646</v>
      </c>
      <c r="E770" s="10" t="n">
        <v>677</v>
      </c>
      <c r="F770" s="12" t="n">
        <v>78.40000000000001</v>
      </c>
      <c r="G770" s="12" t="n">
        <v>30.9</v>
      </c>
      <c r="H770" s="10" t="n">
        <v>15</v>
      </c>
      <c r="I770" s="10" t="n">
        <v>345</v>
      </c>
      <c r="J770" s="7" t="inlineStr">
        <is>
          <t>CA</t>
        </is>
      </c>
      <c r="K770" s="7" t="inlineStr">
        <is>
          <t>2-4 Unit</t>
        </is>
      </c>
      <c r="L770" s="7" t="inlineStr">
        <is>
          <t>Apex Funding</t>
        </is>
      </c>
      <c r="M770" s="7" t="inlineStr">
        <is>
          <t>Pier Asset Mgmt</t>
        </is>
      </c>
    </row>
    <row r="771">
      <c r="A771" s="5" t="inlineStr">
        <is>
          <t>L100766</t>
        </is>
      </c>
      <c r="B771" s="16" t="n">
        <v>250012.8</v>
      </c>
      <c r="C771" s="16" t="n">
        <v>248046.91</v>
      </c>
      <c r="D771" s="26" t="n">
        <v>6.791</v>
      </c>
      <c r="E771" s="6" t="n">
        <v>615</v>
      </c>
      <c r="F771" s="11" t="n">
        <v>62.1</v>
      </c>
      <c r="G771" s="11" t="n">
        <v>51</v>
      </c>
      <c r="H771" s="6" t="n">
        <v>9</v>
      </c>
      <c r="I771" s="6" t="n">
        <v>351</v>
      </c>
      <c r="J771" s="5" t="inlineStr">
        <is>
          <t>IL</t>
        </is>
      </c>
      <c r="K771" s="5" t="inlineStr">
        <is>
          <t>SFR</t>
        </is>
      </c>
      <c r="L771" s="5" t="inlineStr">
        <is>
          <t>Apex Funding</t>
        </is>
      </c>
      <c r="M771" s="5" t="inlineStr">
        <is>
          <t>Northgate Servicing</t>
        </is>
      </c>
    </row>
    <row r="772">
      <c r="A772" s="7" t="inlineStr">
        <is>
          <t>L100767</t>
        </is>
      </c>
      <c r="B772" s="8" t="n">
        <v>199852.09</v>
      </c>
      <c r="C772" s="8" t="n">
        <v>193578.42</v>
      </c>
      <c r="D772" s="27" t="n">
        <v>6.518</v>
      </c>
      <c r="E772" s="10" t="n">
        <v>811</v>
      </c>
      <c r="F772" s="12" t="n">
        <v>86.7</v>
      </c>
      <c r="G772" s="12" t="n">
        <v>35.6</v>
      </c>
      <c r="H772" s="10" t="n">
        <v>32</v>
      </c>
      <c r="I772" s="10" t="n">
        <v>328</v>
      </c>
      <c r="J772" s="7" t="inlineStr">
        <is>
          <t>WA</t>
        </is>
      </c>
      <c r="K772" s="7" t="inlineStr">
        <is>
          <t>SFR</t>
        </is>
      </c>
      <c r="L772" s="7" t="inlineStr">
        <is>
          <t>Highline Capital</t>
        </is>
      </c>
      <c r="M772" s="7" t="inlineStr">
        <is>
          <t>Summit Loan Servicing</t>
        </is>
      </c>
    </row>
    <row r="773">
      <c r="A773" s="5" t="inlineStr">
        <is>
          <t>L100768</t>
        </is>
      </c>
      <c r="B773" s="16" t="n">
        <v>155135.73</v>
      </c>
      <c r="C773" s="16" t="n">
        <v>142113.23</v>
      </c>
      <c r="D773" s="26" t="n">
        <v>5.945</v>
      </c>
      <c r="E773" s="6" t="n">
        <v>760</v>
      </c>
      <c r="F773" s="11" t="n">
        <v>56</v>
      </c>
      <c r="G773" s="11" t="n">
        <v>50.1</v>
      </c>
      <c r="H773" s="6" t="n">
        <v>23</v>
      </c>
      <c r="I773" s="6" t="n">
        <v>157</v>
      </c>
      <c r="J773" s="5" t="inlineStr">
        <is>
          <t>IL</t>
        </is>
      </c>
      <c r="K773" s="5" t="inlineStr">
        <is>
          <t>SFR</t>
        </is>
      </c>
      <c r="L773" s="5" t="inlineStr">
        <is>
          <t>Coastal Mortgage Co</t>
        </is>
      </c>
      <c r="M773" s="5" t="inlineStr">
        <is>
          <t>Pier Asset Mgmt</t>
        </is>
      </c>
    </row>
    <row r="774">
      <c r="A774" s="7" t="inlineStr">
        <is>
          <t>L100769</t>
        </is>
      </c>
      <c r="B774" s="8" t="n">
        <v>437414.18</v>
      </c>
      <c r="C774" s="8" t="n">
        <v>416450.72</v>
      </c>
      <c r="D774" s="27" t="n">
        <v>6.398</v>
      </c>
      <c r="E774" s="10" t="n">
        <v>757</v>
      </c>
      <c r="F774" s="12" t="n">
        <v>93.2</v>
      </c>
      <c r="G774" s="12" t="n">
        <v>24.8</v>
      </c>
      <c r="H774" s="10" t="n">
        <v>46</v>
      </c>
      <c r="I774" s="10" t="n">
        <v>314</v>
      </c>
      <c r="J774" s="7" t="inlineStr">
        <is>
          <t>CA</t>
        </is>
      </c>
      <c r="K774" s="7" t="inlineStr">
        <is>
          <t>2-4 Unit</t>
        </is>
      </c>
      <c r="L774" s="7" t="inlineStr">
        <is>
          <t>Apex Funding</t>
        </is>
      </c>
      <c r="M774" s="7" t="inlineStr">
        <is>
          <t>Pier Asset Mgmt</t>
        </is>
      </c>
    </row>
    <row r="775">
      <c r="A775" s="5" t="inlineStr">
        <is>
          <t>L100770</t>
        </is>
      </c>
      <c r="B775" s="16" t="n">
        <v>444696.97</v>
      </c>
      <c r="C775" s="16" t="n">
        <v>444254.44</v>
      </c>
      <c r="D775" s="26" t="n">
        <v>6.002</v>
      </c>
      <c r="E775" s="6" t="n">
        <v>768</v>
      </c>
      <c r="F775" s="11" t="n">
        <v>76.40000000000001</v>
      </c>
      <c r="G775" s="11" t="n">
        <v>40.1</v>
      </c>
      <c r="H775" s="6" t="n">
        <v>1</v>
      </c>
      <c r="I775" s="6" t="n">
        <v>359</v>
      </c>
      <c r="J775" s="5" t="inlineStr">
        <is>
          <t>WA</t>
        </is>
      </c>
      <c r="K775" s="5" t="inlineStr">
        <is>
          <t>SFR</t>
        </is>
      </c>
      <c r="L775" s="5" t="inlineStr">
        <is>
          <t>Meridian Home Loans</t>
        </is>
      </c>
      <c r="M775" s="5" t="inlineStr">
        <is>
          <t>Summit Loan Servicing</t>
        </is>
      </c>
    </row>
    <row r="776">
      <c r="A776" s="7" t="inlineStr">
        <is>
          <t>L100771</t>
        </is>
      </c>
      <c r="B776" s="8" t="n">
        <v>390712.47</v>
      </c>
      <c r="C776" s="8" t="n">
        <v>378149.93</v>
      </c>
      <c r="D776" s="27" t="n">
        <v>7.264</v>
      </c>
      <c r="E776" s="10" t="n">
        <v>747</v>
      </c>
      <c r="F776" s="12" t="n">
        <v>42.2</v>
      </c>
      <c r="G776" s="12" t="n">
        <v>52.6</v>
      </c>
      <c r="H776" s="10" t="n">
        <v>37</v>
      </c>
      <c r="I776" s="10" t="n">
        <v>323</v>
      </c>
      <c r="J776" s="7" t="inlineStr">
        <is>
          <t>AZ</t>
        </is>
      </c>
      <c r="K776" s="7" t="inlineStr">
        <is>
          <t>SFR</t>
        </is>
      </c>
      <c r="L776" s="7" t="inlineStr">
        <is>
          <t>Highline Capital</t>
        </is>
      </c>
      <c r="M776" s="7" t="inlineStr">
        <is>
          <t>Summit Loan Servicing</t>
        </is>
      </c>
    </row>
    <row r="777">
      <c r="A777" s="5" t="inlineStr">
        <is>
          <t>L100772</t>
        </is>
      </c>
      <c r="B777" s="16" t="n">
        <v>265487.94</v>
      </c>
      <c r="C777" s="16" t="n">
        <v>253312.4</v>
      </c>
      <c r="D777" s="26" t="n">
        <v>6.217</v>
      </c>
      <c r="E777" s="6" t="n">
        <v>702</v>
      </c>
      <c r="F777" s="11" t="n">
        <v>69.90000000000001</v>
      </c>
      <c r="G777" s="11" t="n">
        <v>36.2</v>
      </c>
      <c r="H777" s="6" t="n">
        <v>43</v>
      </c>
      <c r="I777" s="6" t="n">
        <v>317</v>
      </c>
      <c r="J777" s="5" t="inlineStr">
        <is>
          <t>NY</t>
        </is>
      </c>
      <c r="K777" s="5" t="inlineStr">
        <is>
          <t>SFR</t>
        </is>
      </c>
      <c r="L777" s="5" t="inlineStr">
        <is>
          <t>Meridian Home Loans</t>
        </is>
      </c>
      <c r="M777" s="5" t="inlineStr">
        <is>
          <t>Summit Loan Servicing</t>
        </is>
      </c>
    </row>
    <row r="778">
      <c r="A778" s="7" t="inlineStr">
        <is>
          <t>L100773</t>
        </is>
      </c>
      <c r="B778" s="8" t="n">
        <v>389538.81</v>
      </c>
      <c r="C778" s="8" t="n">
        <v>378370.11</v>
      </c>
      <c r="D778" s="27" t="n">
        <v>5.053</v>
      </c>
      <c r="E778" s="10" t="n">
        <v>706</v>
      </c>
      <c r="F778" s="12" t="n">
        <v>81.8</v>
      </c>
      <c r="G778" s="12" t="n">
        <v>33.9</v>
      </c>
      <c r="H778" s="10" t="n">
        <v>23</v>
      </c>
      <c r="I778" s="10" t="n">
        <v>337</v>
      </c>
      <c r="J778" s="7" t="inlineStr">
        <is>
          <t>NC</t>
        </is>
      </c>
      <c r="K778" s="7" t="inlineStr">
        <is>
          <t>Multifamily</t>
        </is>
      </c>
      <c r="L778" s="7" t="inlineStr">
        <is>
          <t>Apex Funding</t>
        </is>
      </c>
      <c r="M778" s="7" t="inlineStr">
        <is>
          <t>Summit Loan Servicing</t>
        </is>
      </c>
    </row>
    <row r="779">
      <c r="A779" s="5" t="inlineStr">
        <is>
          <t>L100774</t>
        </is>
      </c>
      <c r="B779" s="16" t="n">
        <v>243828.07</v>
      </c>
      <c r="C779" s="16" t="n">
        <v>233288.72</v>
      </c>
      <c r="D779" s="26" t="n">
        <v>4.889</v>
      </c>
      <c r="E779" s="6" t="n">
        <v>691</v>
      </c>
      <c r="F779" s="11" t="n">
        <v>71.2</v>
      </c>
      <c r="G779" s="11" t="n">
        <v>26.7</v>
      </c>
      <c r="H779" s="6" t="n">
        <v>33</v>
      </c>
      <c r="I779" s="6" t="n">
        <v>327</v>
      </c>
      <c r="J779" s="5" t="inlineStr">
        <is>
          <t>NC</t>
        </is>
      </c>
      <c r="K779" s="5" t="inlineStr">
        <is>
          <t>SFR</t>
        </is>
      </c>
      <c r="L779" s="5" t="inlineStr">
        <is>
          <t>Meridian Home Loans</t>
        </is>
      </c>
      <c r="M779" s="5" t="inlineStr">
        <is>
          <t>Pier Asset Mgmt</t>
        </is>
      </c>
    </row>
    <row r="780">
      <c r="A780" s="7" t="inlineStr">
        <is>
          <t>L100775</t>
        </is>
      </c>
      <c r="B780" s="8" t="n">
        <v>260661.8</v>
      </c>
      <c r="C780" s="8" t="n">
        <v>253614.8</v>
      </c>
      <c r="D780" s="27" t="n">
        <v>4.846</v>
      </c>
      <c r="E780" s="10" t="n">
        <v>820</v>
      </c>
      <c r="F780" s="12" t="n">
        <v>82.59999999999999</v>
      </c>
      <c r="G780" s="12" t="n">
        <v>44.7</v>
      </c>
      <c r="H780" s="10" t="n">
        <v>21</v>
      </c>
      <c r="I780" s="10" t="n">
        <v>339</v>
      </c>
      <c r="J780" s="7" t="inlineStr">
        <is>
          <t>GA</t>
        </is>
      </c>
      <c r="K780" s="7" t="inlineStr">
        <is>
          <t>SFR</t>
        </is>
      </c>
      <c r="L780" s="7" t="inlineStr">
        <is>
          <t>Coastal Mortgage Co</t>
        </is>
      </c>
      <c r="M780" s="7" t="inlineStr">
        <is>
          <t>Summit Loan Servicing</t>
        </is>
      </c>
    </row>
    <row r="781">
      <c r="A781" s="5" t="inlineStr">
        <is>
          <t>L100776</t>
        </is>
      </c>
      <c r="B781" s="16" t="n">
        <v>165592.47</v>
      </c>
      <c r="C781" s="16" t="n">
        <v>161443.14</v>
      </c>
      <c r="D781" s="26" t="n">
        <v>6.956</v>
      </c>
      <c r="E781" s="6" t="n">
        <v>746</v>
      </c>
      <c r="F781" s="11" t="n">
        <v>63.8</v>
      </c>
      <c r="G781" s="11" t="n">
        <v>29.8</v>
      </c>
      <c r="H781" s="6" t="n">
        <v>28</v>
      </c>
      <c r="I781" s="6" t="n">
        <v>332</v>
      </c>
      <c r="J781" s="5" t="inlineStr">
        <is>
          <t>WA</t>
        </is>
      </c>
      <c r="K781" s="5" t="inlineStr">
        <is>
          <t>SFR</t>
        </is>
      </c>
      <c r="L781" s="5" t="inlineStr">
        <is>
          <t>Meridian Home Loans</t>
        </is>
      </c>
      <c r="M781" s="5" t="inlineStr">
        <is>
          <t>Northgate Servicing</t>
        </is>
      </c>
    </row>
    <row r="782">
      <c r="A782" s="7" t="inlineStr">
        <is>
          <t>L100777</t>
        </is>
      </c>
      <c r="B782" s="8" t="n">
        <v>278994.39</v>
      </c>
      <c r="C782" s="8" t="n">
        <v>231112.23</v>
      </c>
      <c r="D782" s="27" t="n">
        <v>5.364</v>
      </c>
      <c r="E782" s="10" t="n">
        <v>689</v>
      </c>
      <c r="F782" s="12" t="n">
        <v>58.3</v>
      </c>
      <c r="G782" s="12" t="n">
        <v>35.2</v>
      </c>
      <c r="H782" s="10" t="n">
        <v>43</v>
      </c>
      <c r="I782" s="10" t="n">
        <v>137</v>
      </c>
      <c r="J782" s="7" t="inlineStr">
        <is>
          <t>AZ</t>
        </is>
      </c>
      <c r="K782" s="7" t="inlineStr">
        <is>
          <t>SFR</t>
        </is>
      </c>
      <c r="L782" s="7" t="inlineStr">
        <is>
          <t>Apex Funding</t>
        </is>
      </c>
      <c r="M782" s="7" t="inlineStr">
        <is>
          <t>Pier Asset Mgmt</t>
        </is>
      </c>
    </row>
    <row r="783">
      <c r="A783" s="5" t="inlineStr">
        <is>
          <t>L100778</t>
        </is>
      </c>
      <c r="B783" s="16" t="n">
        <v>247987.86</v>
      </c>
      <c r="C783" s="16" t="n">
        <v>242188.32</v>
      </c>
      <c r="D783" s="26" t="n">
        <v>6.67</v>
      </c>
      <c r="E783" s="6" t="n">
        <v>741</v>
      </c>
      <c r="F783" s="11" t="n">
        <v>73.09999999999999</v>
      </c>
      <c r="G783" s="11" t="n">
        <v>26.1</v>
      </c>
      <c r="H783" s="6" t="n">
        <v>25</v>
      </c>
      <c r="I783" s="6" t="n">
        <v>335</v>
      </c>
      <c r="J783" s="5" t="inlineStr">
        <is>
          <t>FL</t>
        </is>
      </c>
      <c r="K783" s="5" t="inlineStr">
        <is>
          <t>2-4 Unit</t>
        </is>
      </c>
      <c r="L783" s="5" t="inlineStr">
        <is>
          <t>Coastal Mortgage Co</t>
        </is>
      </c>
      <c r="M783" s="5" t="inlineStr">
        <is>
          <t>Northgate Servicing</t>
        </is>
      </c>
    </row>
    <row r="784">
      <c r="A784" s="7" t="inlineStr">
        <is>
          <t>L100779</t>
        </is>
      </c>
      <c r="B784" s="8" t="n">
        <v>153902.07</v>
      </c>
      <c r="C784" s="8" t="n">
        <v>138643.29</v>
      </c>
      <c r="D784" s="27" t="n">
        <v>6.523</v>
      </c>
      <c r="E784" s="10" t="n">
        <v>659</v>
      </c>
      <c r="F784" s="12" t="n">
        <v>74.40000000000001</v>
      </c>
      <c r="G784" s="12" t="n">
        <v>48.5</v>
      </c>
      <c r="H784" s="10" t="n">
        <v>28</v>
      </c>
      <c r="I784" s="10" t="n">
        <v>152</v>
      </c>
      <c r="J784" s="7" t="inlineStr">
        <is>
          <t>WA</t>
        </is>
      </c>
      <c r="K784" s="7" t="inlineStr">
        <is>
          <t>Condo</t>
        </is>
      </c>
      <c r="L784" s="7" t="inlineStr">
        <is>
          <t>Apex Funding</t>
        </is>
      </c>
      <c r="M784" s="7" t="inlineStr">
        <is>
          <t>Pier Asset Mgmt</t>
        </is>
      </c>
    </row>
    <row r="785">
      <c r="A785" s="5" t="inlineStr">
        <is>
          <t>L100780</t>
        </is>
      </c>
      <c r="B785" s="16" t="n">
        <v>238489.61</v>
      </c>
      <c r="C785" s="16" t="n">
        <v>226664.48</v>
      </c>
      <c r="D785" s="26" t="n">
        <v>6.342</v>
      </c>
      <c r="E785" s="6" t="n">
        <v>798</v>
      </c>
      <c r="F785" s="11" t="n">
        <v>69.8</v>
      </c>
      <c r="G785" s="11" t="n">
        <v>45.2</v>
      </c>
      <c r="H785" s="6" t="n">
        <v>47</v>
      </c>
      <c r="I785" s="6" t="n">
        <v>313</v>
      </c>
      <c r="J785" s="5" t="inlineStr">
        <is>
          <t>WA</t>
        </is>
      </c>
      <c r="K785" s="5" t="inlineStr">
        <is>
          <t>SFR</t>
        </is>
      </c>
      <c r="L785" s="5" t="inlineStr">
        <is>
          <t>Coastal Mortgage Co</t>
        </is>
      </c>
      <c r="M785" s="5" t="inlineStr">
        <is>
          <t>Summit Loan Servicing</t>
        </is>
      </c>
    </row>
    <row r="786">
      <c r="A786" s="7" t="inlineStr">
        <is>
          <t>L100781</t>
        </is>
      </c>
      <c r="B786" s="8" t="n">
        <v>236119.82</v>
      </c>
      <c r="C786" s="8" t="n">
        <v>216684.45</v>
      </c>
      <c r="D786" s="27" t="n">
        <v>6.795</v>
      </c>
      <c r="E786" s="10" t="n">
        <v>679</v>
      </c>
      <c r="F786" s="12" t="n">
        <v>88.7</v>
      </c>
      <c r="G786" s="12" t="n">
        <v>35.7</v>
      </c>
      <c r="H786" s="10" t="n">
        <v>24</v>
      </c>
      <c r="I786" s="10" t="n">
        <v>156</v>
      </c>
      <c r="J786" s="7" t="inlineStr">
        <is>
          <t>CA</t>
        </is>
      </c>
      <c r="K786" s="7" t="inlineStr">
        <is>
          <t>2-4 Unit</t>
        </is>
      </c>
      <c r="L786" s="7" t="inlineStr">
        <is>
          <t>Meridian Home Loans</t>
        </is>
      </c>
      <c r="M786" s="7" t="inlineStr">
        <is>
          <t>Pier Asset Mgmt</t>
        </is>
      </c>
    </row>
    <row r="787">
      <c r="A787" s="5" t="inlineStr">
        <is>
          <t>L100782</t>
        </is>
      </c>
      <c r="B787" s="16" t="n">
        <v>455497.91</v>
      </c>
      <c r="C787" s="16" t="n">
        <v>451740.88</v>
      </c>
      <c r="D787" s="26" t="n">
        <v>6.542</v>
      </c>
      <c r="E787" s="6" t="n">
        <v>743</v>
      </c>
      <c r="F787" s="11" t="n">
        <v>63.8</v>
      </c>
      <c r="G787" s="11" t="n">
        <v>26.8</v>
      </c>
      <c r="H787" s="6" t="n">
        <v>9</v>
      </c>
      <c r="I787" s="6" t="n">
        <v>351</v>
      </c>
      <c r="J787" s="5" t="inlineStr">
        <is>
          <t>FL</t>
        </is>
      </c>
      <c r="K787" s="5" t="inlineStr">
        <is>
          <t>SFR</t>
        </is>
      </c>
      <c r="L787" s="5" t="inlineStr">
        <is>
          <t>Apex Funding</t>
        </is>
      </c>
      <c r="M787" s="5" t="inlineStr">
        <is>
          <t>Summit Loan Servicing</t>
        </is>
      </c>
    </row>
    <row r="788">
      <c r="A788" s="7" t="inlineStr">
        <is>
          <t>L100783</t>
        </is>
      </c>
      <c r="B788" s="8" t="n">
        <v>332028.03</v>
      </c>
      <c r="C788" s="8" t="n">
        <v>315262.1</v>
      </c>
      <c r="D788" s="27" t="n">
        <v>3.961</v>
      </c>
      <c r="E788" s="10" t="n">
        <v>774</v>
      </c>
      <c r="F788" s="12" t="n">
        <v>77.8</v>
      </c>
      <c r="G788" s="12" t="n">
        <v>48.3</v>
      </c>
      <c r="H788" s="10" t="n">
        <v>33</v>
      </c>
      <c r="I788" s="10" t="n">
        <v>327</v>
      </c>
      <c r="J788" s="7" t="inlineStr">
        <is>
          <t>NC</t>
        </is>
      </c>
      <c r="K788" s="7" t="inlineStr">
        <is>
          <t>2-4 Unit</t>
        </is>
      </c>
      <c r="L788" s="7" t="inlineStr">
        <is>
          <t>Apex Funding</t>
        </is>
      </c>
      <c r="M788" s="7" t="inlineStr">
        <is>
          <t>Pier Asset Mgmt</t>
        </is>
      </c>
    </row>
    <row r="789">
      <c r="A789" s="5" t="inlineStr">
        <is>
          <t>L100784</t>
        </is>
      </c>
      <c r="B789" s="16" t="n">
        <v>243776.21</v>
      </c>
      <c r="C789" s="16" t="n">
        <v>235259.52</v>
      </c>
      <c r="D789" s="26" t="n">
        <v>6.109</v>
      </c>
      <c r="E789" s="6" t="n">
        <v>736</v>
      </c>
      <c r="F789" s="11" t="n">
        <v>74.8</v>
      </c>
      <c r="G789" s="11" t="n">
        <v>33.1</v>
      </c>
      <c r="H789" s="6" t="n">
        <v>33</v>
      </c>
      <c r="I789" s="6" t="n">
        <v>327</v>
      </c>
      <c r="J789" s="5" t="inlineStr">
        <is>
          <t>OH</t>
        </is>
      </c>
      <c r="K789" s="5" t="inlineStr">
        <is>
          <t>SFR</t>
        </is>
      </c>
      <c r="L789" s="5" t="inlineStr">
        <is>
          <t>Apex Funding</t>
        </is>
      </c>
      <c r="M789" s="5" t="inlineStr">
        <is>
          <t>Northgate Servicing</t>
        </is>
      </c>
    </row>
    <row r="790">
      <c r="A790" s="7" t="inlineStr">
        <is>
          <t>L100785</t>
        </is>
      </c>
      <c r="B790" s="8" t="n">
        <v>264891.49</v>
      </c>
      <c r="C790" s="8" t="n">
        <v>262086.18</v>
      </c>
      <c r="D790" s="27" t="n">
        <v>6.783</v>
      </c>
      <c r="E790" s="10" t="n">
        <v>720</v>
      </c>
      <c r="F790" s="12" t="n">
        <v>55.3</v>
      </c>
      <c r="G790" s="12" t="n">
        <v>27.2</v>
      </c>
      <c r="H790" s="10" t="n">
        <v>12</v>
      </c>
      <c r="I790" s="10" t="n">
        <v>348</v>
      </c>
      <c r="J790" s="7" t="inlineStr">
        <is>
          <t>AZ</t>
        </is>
      </c>
      <c r="K790" s="7" t="inlineStr">
        <is>
          <t>SFR</t>
        </is>
      </c>
      <c r="L790" s="7" t="inlineStr">
        <is>
          <t>Coastal Mortgage Co</t>
        </is>
      </c>
      <c r="M790" s="7" t="inlineStr">
        <is>
          <t>Northgate Servicing</t>
        </is>
      </c>
    </row>
    <row r="791">
      <c r="A791" s="5" t="inlineStr">
        <is>
          <t>L100786</t>
        </is>
      </c>
      <c r="B791" s="16" t="n">
        <v>246588.03</v>
      </c>
      <c r="C791" s="16" t="n">
        <v>239936.69</v>
      </c>
      <c r="D791" s="26" t="n">
        <v>7.876</v>
      </c>
      <c r="E791" s="6" t="n">
        <v>716</v>
      </c>
      <c r="F791" s="11" t="n">
        <v>58.2</v>
      </c>
      <c r="G791" s="11" t="n">
        <v>21.9</v>
      </c>
      <c r="H791" s="6" t="n">
        <v>35</v>
      </c>
      <c r="I791" s="6" t="n">
        <v>325</v>
      </c>
      <c r="J791" s="5" t="inlineStr">
        <is>
          <t>GA</t>
        </is>
      </c>
      <c r="K791" s="5" t="inlineStr">
        <is>
          <t>2-4 Unit</t>
        </is>
      </c>
      <c r="L791" s="5" t="inlineStr">
        <is>
          <t>Apex Funding</t>
        </is>
      </c>
      <c r="M791" s="5" t="inlineStr">
        <is>
          <t>Pier Asset Mgmt</t>
        </is>
      </c>
    </row>
    <row r="792">
      <c r="A792" s="7" t="inlineStr">
        <is>
          <t>L100787</t>
        </is>
      </c>
      <c r="B792" s="8" t="n">
        <v>226155.95</v>
      </c>
      <c r="C792" s="8" t="n">
        <v>225690.02</v>
      </c>
      <c r="D792" s="27" t="n">
        <v>7.918</v>
      </c>
      <c r="E792" s="10" t="n">
        <v>712</v>
      </c>
      <c r="F792" s="12" t="n">
        <v>74.09999999999999</v>
      </c>
      <c r="G792" s="12" t="n">
        <v>30.8</v>
      </c>
      <c r="H792" s="10" t="n">
        <v>3</v>
      </c>
      <c r="I792" s="10" t="n">
        <v>357</v>
      </c>
      <c r="J792" s="7" t="inlineStr">
        <is>
          <t>NY</t>
        </is>
      </c>
      <c r="K792" s="7" t="inlineStr">
        <is>
          <t>2-4 Unit</t>
        </is>
      </c>
      <c r="L792" s="7" t="inlineStr">
        <is>
          <t>Apex Funding</t>
        </is>
      </c>
      <c r="M792" s="7" t="inlineStr">
        <is>
          <t>Pier Asset Mgmt</t>
        </is>
      </c>
    </row>
    <row r="793">
      <c r="A793" s="5" t="inlineStr">
        <is>
          <t>L100788</t>
        </is>
      </c>
      <c r="B793" s="16" t="n">
        <v>166233.8</v>
      </c>
      <c r="C793" s="16" t="n">
        <v>163036.8</v>
      </c>
      <c r="D793" s="26" t="n">
        <v>5.173</v>
      </c>
      <c r="E793" s="6" t="n">
        <v>683</v>
      </c>
      <c r="F793" s="11" t="n">
        <v>97</v>
      </c>
      <c r="G793" s="11" t="n">
        <v>24.4</v>
      </c>
      <c r="H793" s="6" t="n">
        <v>16</v>
      </c>
      <c r="I793" s="6" t="n">
        <v>344</v>
      </c>
      <c r="J793" s="5" t="inlineStr">
        <is>
          <t>CA</t>
        </is>
      </c>
      <c r="K793" s="5" t="inlineStr">
        <is>
          <t>Condo</t>
        </is>
      </c>
      <c r="L793" s="5" t="inlineStr">
        <is>
          <t>Meridian Home Loans</t>
        </is>
      </c>
      <c r="M793" s="5" t="inlineStr">
        <is>
          <t>Summit Loan Servicing</t>
        </is>
      </c>
    </row>
    <row r="794">
      <c r="A794" s="7" t="inlineStr">
        <is>
          <t>L100789</t>
        </is>
      </c>
      <c r="B794" s="8" t="n">
        <v>230298.56</v>
      </c>
      <c r="C794" s="8" t="n">
        <v>194570.07</v>
      </c>
      <c r="D794" s="27" t="n">
        <v>6.085</v>
      </c>
      <c r="E794" s="10" t="n">
        <v>690</v>
      </c>
      <c r="F794" s="12" t="n">
        <v>81</v>
      </c>
      <c r="G794" s="12" t="n">
        <v>31</v>
      </c>
      <c r="H794" s="10" t="n">
        <v>41</v>
      </c>
      <c r="I794" s="10" t="n">
        <v>139</v>
      </c>
      <c r="J794" s="7" t="inlineStr">
        <is>
          <t>OH</t>
        </is>
      </c>
      <c r="K794" s="7" t="inlineStr">
        <is>
          <t>Condo</t>
        </is>
      </c>
      <c r="L794" s="7" t="inlineStr">
        <is>
          <t>Meridian Home Loans</t>
        </is>
      </c>
      <c r="M794" s="7" t="inlineStr">
        <is>
          <t>Pier Asset Mgmt</t>
        </is>
      </c>
    </row>
    <row r="795">
      <c r="A795" s="5" t="inlineStr">
        <is>
          <t>L100790</t>
        </is>
      </c>
      <c r="B795" s="16" t="n">
        <v>187000.32</v>
      </c>
      <c r="C795" s="16" t="n">
        <v>179823.7</v>
      </c>
      <c r="D795" s="26" t="n">
        <v>4.99</v>
      </c>
      <c r="E795" s="6" t="n">
        <v>796</v>
      </c>
      <c r="F795" s="11" t="n">
        <v>53.3</v>
      </c>
      <c r="G795" s="11" t="n">
        <v>42</v>
      </c>
      <c r="H795" s="6" t="n">
        <v>30</v>
      </c>
      <c r="I795" s="6" t="n">
        <v>330</v>
      </c>
      <c r="J795" s="5" t="inlineStr">
        <is>
          <t>GA</t>
        </is>
      </c>
      <c r="K795" s="5" t="inlineStr">
        <is>
          <t>2-4 Unit</t>
        </is>
      </c>
      <c r="L795" s="5" t="inlineStr">
        <is>
          <t>Coastal Mortgage Co</t>
        </is>
      </c>
      <c r="M795" s="5" t="inlineStr">
        <is>
          <t>Summit Loan Servicing</t>
        </is>
      </c>
    </row>
    <row r="796">
      <c r="A796" s="7" t="inlineStr">
        <is>
          <t>L100791</t>
        </is>
      </c>
      <c r="B796" s="8" t="n">
        <v>156747.19</v>
      </c>
      <c r="C796" s="8" t="n">
        <v>153243.22</v>
      </c>
      <c r="D796" s="27" t="n">
        <v>7.768</v>
      </c>
      <c r="E796" s="10" t="n">
        <v>709</v>
      </c>
      <c r="F796" s="12" t="n">
        <v>36.7</v>
      </c>
      <c r="G796" s="12" t="n">
        <v>33</v>
      </c>
      <c r="H796" s="10" t="n">
        <v>29</v>
      </c>
      <c r="I796" s="10" t="n">
        <v>331</v>
      </c>
      <c r="J796" s="7" t="inlineStr">
        <is>
          <t>IL</t>
        </is>
      </c>
      <c r="K796" s="7" t="inlineStr">
        <is>
          <t>Condo</t>
        </is>
      </c>
      <c r="L796" s="7" t="inlineStr">
        <is>
          <t>Meridian Home Loans</t>
        </is>
      </c>
      <c r="M796" s="7" t="inlineStr">
        <is>
          <t>Pier Asset Mgmt</t>
        </is>
      </c>
    </row>
    <row r="797">
      <c r="A797" s="5" t="inlineStr">
        <is>
          <t>L100792</t>
        </is>
      </c>
      <c r="B797" s="16" t="n">
        <v>290374.76</v>
      </c>
      <c r="C797" s="16" t="n">
        <v>283034.24</v>
      </c>
      <c r="D797" s="26" t="n">
        <v>7.312</v>
      </c>
      <c r="E797" s="6" t="n">
        <v>672</v>
      </c>
      <c r="F797" s="11" t="n">
        <v>82.8</v>
      </c>
      <c r="G797" s="11" t="n">
        <v>38.8</v>
      </c>
      <c r="H797" s="6" t="n">
        <v>30</v>
      </c>
      <c r="I797" s="6" t="n">
        <v>330</v>
      </c>
      <c r="J797" s="5" t="inlineStr">
        <is>
          <t>WA</t>
        </is>
      </c>
      <c r="K797" s="5" t="inlineStr">
        <is>
          <t>SFR</t>
        </is>
      </c>
      <c r="L797" s="5" t="inlineStr">
        <is>
          <t>Apex Funding</t>
        </is>
      </c>
      <c r="M797" s="5" t="inlineStr">
        <is>
          <t>Pier Asset Mgmt</t>
        </is>
      </c>
    </row>
    <row r="798">
      <c r="A798" s="7" t="inlineStr">
        <is>
          <t>L100793</t>
        </is>
      </c>
      <c r="B798" s="8" t="n">
        <v>278435.76</v>
      </c>
      <c r="C798" s="8" t="n">
        <v>276466.88</v>
      </c>
      <c r="D798" s="27" t="n">
        <v>6.716</v>
      </c>
      <c r="E798" s="10" t="n">
        <v>687</v>
      </c>
      <c r="F798" s="12" t="n">
        <v>72.8</v>
      </c>
      <c r="G798" s="12" t="n">
        <v>30.2</v>
      </c>
      <c r="H798" s="10" t="n">
        <v>8</v>
      </c>
      <c r="I798" s="10" t="n">
        <v>352</v>
      </c>
      <c r="J798" s="7" t="inlineStr">
        <is>
          <t>TX</t>
        </is>
      </c>
      <c r="K798" s="7" t="inlineStr">
        <is>
          <t>SFR</t>
        </is>
      </c>
      <c r="L798" s="7" t="inlineStr">
        <is>
          <t>Meridian Home Loans</t>
        </is>
      </c>
      <c r="M798" s="7" t="inlineStr">
        <is>
          <t>Northgate Servicing</t>
        </is>
      </c>
    </row>
    <row r="799">
      <c r="A799" s="5" t="inlineStr">
        <is>
          <t>L100794</t>
        </is>
      </c>
      <c r="B799" s="16" t="n">
        <v>129917.17</v>
      </c>
      <c r="C799" s="16" t="n">
        <v>123852.92</v>
      </c>
      <c r="D799" s="26" t="n">
        <v>6.549</v>
      </c>
      <c r="E799" s="6" t="n">
        <v>776</v>
      </c>
      <c r="F799" s="11" t="n">
        <v>87.7</v>
      </c>
      <c r="G799" s="11" t="n">
        <v>36.5</v>
      </c>
      <c r="H799" s="6" t="n">
        <v>46</v>
      </c>
      <c r="I799" s="6" t="n">
        <v>314</v>
      </c>
      <c r="J799" s="5" t="inlineStr">
        <is>
          <t>FL</t>
        </is>
      </c>
      <c r="K799" s="5" t="inlineStr">
        <is>
          <t>Condo</t>
        </is>
      </c>
      <c r="L799" s="5" t="inlineStr">
        <is>
          <t>Meridian Home Loans</t>
        </is>
      </c>
      <c r="M799" s="5" t="inlineStr">
        <is>
          <t>Pier Asset Mgmt</t>
        </is>
      </c>
    </row>
    <row r="800">
      <c r="A800" s="7" t="inlineStr">
        <is>
          <t>L100795</t>
        </is>
      </c>
      <c r="B800" s="8" t="n">
        <v>232596.48</v>
      </c>
      <c r="C800" s="8" t="n">
        <v>229965.06</v>
      </c>
      <c r="D800" s="27" t="n">
        <v>7.643</v>
      </c>
      <c r="E800" s="10" t="n">
        <v>752</v>
      </c>
      <c r="F800" s="12" t="n">
        <v>63.4</v>
      </c>
      <c r="G800" s="12" t="n">
        <v>51.4</v>
      </c>
      <c r="H800" s="10" t="n">
        <v>15</v>
      </c>
      <c r="I800" s="10" t="n">
        <v>345</v>
      </c>
      <c r="J800" s="7" t="inlineStr">
        <is>
          <t>OH</t>
        </is>
      </c>
      <c r="K800" s="7" t="inlineStr">
        <is>
          <t>SFR</t>
        </is>
      </c>
      <c r="L800" s="7" t="inlineStr">
        <is>
          <t>Meridian Home Loans</t>
        </is>
      </c>
      <c r="M800" s="7" t="inlineStr">
        <is>
          <t>Pier Asset Mgmt</t>
        </is>
      </c>
    </row>
    <row r="801">
      <c r="A801" s="5" t="inlineStr">
        <is>
          <t>L100796</t>
        </is>
      </c>
      <c r="B801" s="16" t="n">
        <v>344033.9</v>
      </c>
      <c r="C801" s="16" t="n">
        <v>333422.8</v>
      </c>
      <c r="D801" s="26" t="n">
        <v>7.49</v>
      </c>
      <c r="E801" s="6" t="n">
        <v>746</v>
      </c>
      <c r="F801" s="11" t="n">
        <v>78.2</v>
      </c>
      <c r="G801" s="11" t="n">
        <v>33.2</v>
      </c>
      <c r="H801" s="6" t="n">
        <v>37</v>
      </c>
      <c r="I801" s="6" t="n">
        <v>323</v>
      </c>
      <c r="J801" s="5" t="inlineStr">
        <is>
          <t>FL</t>
        </is>
      </c>
      <c r="K801" s="5" t="inlineStr">
        <is>
          <t>2-4 Unit</t>
        </is>
      </c>
      <c r="L801" s="5" t="inlineStr">
        <is>
          <t>Coastal Mortgage Co</t>
        </is>
      </c>
      <c r="M801" s="5" t="inlineStr">
        <is>
          <t>Northgate Servicing</t>
        </is>
      </c>
    </row>
    <row r="802">
      <c r="A802" s="7" t="inlineStr">
        <is>
          <t>L100797</t>
        </is>
      </c>
      <c r="B802" s="8" t="n">
        <v>351768.41</v>
      </c>
      <c r="C802" s="8" t="n">
        <v>337408.09</v>
      </c>
      <c r="D802" s="27" t="n">
        <v>7.442</v>
      </c>
      <c r="E802" s="10" t="n">
        <v>701</v>
      </c>
      <c r="F802" s="12" t="n">
        <v>84.2</v>
      </c>
      <c r="G802" s="12" t="n">
        <v>39.1</v>
      </c>
      <c r="H802" s="10" t="n">
        <v>47</v>
      </c>
      <c r="I802" s="10" t="n">
        <v>313</v>
      </c>
      <c r="J802" s="7" t="inlineStr">
        <is>
          <t>WA</t>
        </is>
      </c>
      <c r="K802" s="7" t="inlineStr">
        <is>
          <t>SFR</t>
        </is>
      </c>
      <c r="L802" s="7" t="inlineStr">
        <is>
          <t>Meridian Home Loans</t>
        </is>
      </c>
      <c r="M802" s="7" t="inlineStr">
        <is>
          <t>Summit Loan Servicing</t>
        </is>
      </c>
    </row>
    <row r="803">
      <c r="A803" s="5" t="inlineStr">
        <is>
          <t>L100798</t>
        </is>
      </c>
      <c r="B803" s="16" t="n">
        <v>347681.77</v>
      </c>
      <c r="C803" s="16" t="n">
        <v>344019.37</v>
      </c>
      <c r="D803" s="26" t="n">
        <v>6.811</v>
      </c>
      <c r="E803" s="6" t="n">
        <v>747</v>
      </c>
      <c r="F803" s="11" t="n">
        <v>68.59999999999999</v>
      </c>
      <c r="G803" s="11" t="n">
        <v>23.5</v>
      </c>
      <c r="H803" s="6" t="n">
        <v>12</v>
      </c>
      <c r="I803" s="6" t="n">
        <v>348</v>
      </c>
      <c r="J803" s="5" t="inlineStr">
        <is>
          <t>OH</t>
        </is>
      </c>
      <c r="K803" s="5" t="inlineStr">
        <is>
          <t>SFR</t>
        </is>
      </c>
      <c r="L803" s="5" t="inlineStr">
        <is>
          <t>Apex Funding</t>
        </is>
      </c>
      <c r="M803" s="5" t="inlineStr">
        <is>
          <t>Northgate Servicing</t>
        </is>
      </c>
    </row>
    <row r="804">
      <c r="A804" s="7" t="inlineStr">
        <is>
          <t>L100799</t>
        </is>
      </c>
      <c r="B804" s="8" t="n">
        <v>246131.11</v>
      </c>
      <c r="C804" s="8" t="n">
        <v>238342.66</v>
      </c>
      <c r="D804" s="27" t="n">
        <v>6.086</v>
      </c>
      <c r="E804" s="10" t="n">
        <v>680</v>
      </c>
      <c r="F804" s="12" t="n">
        <v>68.90000000000001</v>
      </c>
      <c r="G804" s="12" t="n">
        <v>48.2</v>
      </c>
      <c r="H804" s="10" t="n">
        <v>30</v>
      </c>
      <c r="I804" s="10" t="n">
        <v>330</v>
      </c>
      <c r="J804" s="7" t="inlineStr">
        <is>
          <t>CA</t>
        </is>
      </c>
      <c r="K804" s="7" t="inlineStr">
        <is>
          <t>SFR</t>
        </is>
      </c>
      <c r="L804" s="7" t="inlineStr">
        <is>
          <t>Meridian Home Loans</t>
        </is>
      </c>
      <c r="M804" s="7" t="inlineStr">
        <is>
          <t>Pier Asset Mgmt</t>
        </is>
      </c>
    </row>
    <row r="805">
      <c r="A805" s="5" t="inlineStr">
        <is>
          <t>L100800</t>
        </is>
      </c>
      <c r="B805" s="16" t="n">
        <v>180635.08</v>
      </c>
      <c r="C805" s="16" t="n">
        <v>180343.31</v>
      </c>
      <c r="D805" s="26" t="n">
        <v>7.09</v>
      </c>
      <c r="E805" s="6" t="n">
        <v>701</v>
      </c>
      <c r="F805" s="11" t="n">
        <v>74.3</v>
      </c>
      <c r="G805" s="11" t="n">
        <v>32.2</v>
      </c>
      <c r="H805" s="6" t="n">
        <v>2</v>
      </c>
      <c r="I805" s="6" t="n">
        <v>358</v>
      </c>
      <c r="J805" s="5" t="inlineStr">
        <is>
          <t>IL</t>
        </is>
      </c>
      <c r="K805" s="5" t="inlineStr">
        <is>
          <t>2-4 Unit</t>
        </is>
      </c>
      <c r="L805" s="5" t="inlineStr">
        <is>
          <t>Highline Capital</t>
        </is>
      </c>
      <c r="M805" s="5" t="inlineStr">
        <is>
          <t>Summit Loan Servicing</t>
        </is>
      </c>
    </row>
    <row r="806">
      <c r="A806" s="7" t="inlineStr">
        <is>
          <t>L100801</t>
        </is>
      </c>
      <c r="B806" s="8" t="n">
        <v>166159.83</v>
      </c>
      <c r="C806" s="8" t="n">
        <v>161817.82</v>
      </c>
      <c r="D806" s="27" t="n">
        <v>7.134</v>
      </c>
      <c r="E806" s="10" t="n">
        <v>768</v>
      </c>
      <c r="F806" s="12" t="n">
        <v>80.5</v>
      </c>
      <c r="G806" s="12" t="n">
        <v>44.4</v>
      </c>
      <c r="H806" s="10" t="n">
        <v>30</v>
      </c>
      <c r="I806" s="10" t="n">
        <v>330</v>
      </c>
      <c r="J806" s="7" t="inlineStr">
        <is>
          <t>AZ</t>
        </is>
      </c>
      <c r="K806" s="7" t="inlineStr">
        <is>
          <t>SFR</t>
        </is>
      </c>
      <c r="L806" s="7" t="inlineStr">
        <is>
          <t>Apex Funding</t>
        </is>
      </c>
      <c r="M806" s="7" t="inlineStr">
        <is>
          <t>Pier Asset Mgmt</t>
        </is>
      </c>
    </row>
    <row r="807">
      <c r="A807" s="5" t="inlineStr">
        <is>
          <t>L100802</t>
        </is>
      </c>
      <c r="B807" s="16" t="n">
        <v>273925.57</v>
      </c>
      <c r="C807" s="16" t="n">
        <v>268150.19</v>
      </c>
      <c r="D807" s="26" t="n">
        <v>6.228</v>
      </c>
      <c r="E807" s="6" t="n">
        <v>763</v>
      </c>
      <c r="F807" s="11" t="n">
        <v>73.8</v>
      </c>
      <c r="G807" s="11" t="n">
        <v>35</v>
      </c>
      <c r="H807" s="6" t="n">
        <v>21</v>
      </c>
      <c r="I807" s="6" t="n">
        <v>339</v>
      </c>
      <c r="J807" s="5" t="inlineStr">
        <is>
          <t>IL</t>
        </is>
      </c>
      <c r="K807" s="5" t="inlineStr">
        <is>
          <t>2-4 Unit</t>
        </is>
      </c>
      <c r="L807" s="5" t="inlineStr">
        <is>
          <t>Meridian Home Loans</t>
        </is>
      </c>
      <c r="M807" s="5" t="inlineStr">
        <is>
          <t>Summit Loan Servicing</t>
        </is>
      </c>
    </row>
    <row r="808">
      <c r="A808" s="7" t="inlineStr">
        <is>
          <t>L100803</t>
        </is>
      </c>
      <c r="B808" s="8" t="n">
        <v>277270.27</v>
      </c>
      <c r="C808" s="8" t="n">
        <v>276175.5</v>
      </c>
      <c r="D808" s="27" t="n">
        <v>6.084</v>
      </c>
      <c r="E808" s="10" t="n">
        <v>661</v>
      </c>
      <c r="F808" s="12" t="n">
        <v>85.7</v>
      </c>
      <c r="G808" s="12" t="n">
        <v>40.9</v>
      </c>
      <c r="H808" s="10" t="n">
        <v>4</v>
      </c>
      <c r="I808" s="10" t="n">
        <v>356</v>
      </c>
      <c r="J808" s="7" t="inlineStr">
        <is>
          <t>FL</t>
        </is>
      </c>
      <c r="K808" s="7" t="inlineStr">
        <is>
          <t>SFR</t>
        </is>
      </c>
      <c r="L808" s="7" t="inlineStr">
        <is>
          <t>Coastal Mortgage Co</t>
        </is>
      </c>
      <c r="M808" s="7" t="inlineStr">
        <is>
          <t>Northgate Servicing</t>
        </is>
      </c>
    </row>
    <row r="809">
      <c r="A809" s="5" t="inlineStr">
        <is>
          <t>L100804</t>
        </is>
      </c>
      <c r="B809" s="16" t="n">
        <v>381004.28</v>
      </c>
      <c r="C809" s="16" t="n">
        <v>370871.82</v>
      </c>
      <c r="D809" s="26" t="n">
        <v>7.42</v>
      </c>
      <c r="E809" s="6" t="n">
        <v>668</v>
      </c>
      <c r="F809" s="11" t="n">
        <v>68.5</v>
      </c>
      <c r="G809" s="11" t="n">
        <v>41.4</v>
      </c>
      <c r="H809" s="6" t="n">
        <v>32</v>
      </c>
      <c r="I809" s="6" t="n">
        <v>328</v>
      </c>
      <c r="J809" s="5" t="inlineStr">
        <is>
          <t>CA</t>
        </is>
      </c>
      <c r="K809" s="5" t="inlineStr">
        <is>
          <t>SFR</t>
        </is>
      </c>
      <c r="L809" s="5" t="inlineStr">
        <is>
          <t>Meridian Home Loans</t>
        </is>
      </c>
      <c r="M809" s="5" t="inlineStr">
        <is>
          <t>Northgate Servicing</t>
        </is>
      </c>
    </row>
    <row r="810">
      <c r="A810" s="7" t="inlineStr">
        <is>
          <t>L100805</t>
        </is>
      </c>
      <c r="B810" s="8" t="n">
        <v>356822.19</v>
      </c>
      <c r="C810" s="8" t="n">
        <v>343740.99</v>
      </c>
      <c r="D810" s="27" t="n">
        <v>7.898</v>
      </c>
      <c r="E810" s="10" t="n">
        <v>721</v>
      </c>
      <c r="F810" s="12" t="n">
        <v>58.1</v>
      </c>
      <c r="G810" s="12" t="n">
        <v>32.4</v>
      </c>
      <c r="H810" s="10" t="n">
        <v>46</v>
      </c>
      <c r="I810" s="10" t="n">
        <v>314</v>
      </c>
      <c r="J810" s="7" t="inlineStr">
        <is>
          <t>CA</t>
        </is>
      </c>
      <c r="K810" s="7" t="inlineStr">
        <is>
          <t>2-4 Unit</t>
        </is>
      </c>
      <c r="L810" s="7" t="inlineStr">
        <is>
          <t>Highline Capital</t>
        </is>
      </c>
      <c r="M810" s="7" t="inlineStr">
        <is>
          <t>Summit Loan Servicing</t>
        </is>
      </c>
    </row>
    <row r="811">
      <c r="A811" s="5" t="inlineStr">
        <is>
          <t>L100806</t>
        </is>
      </c>
      <c r="B811" s="16" t="n">
        <v>231820.81</v>
      </c>
      <c r="C811" s="16" t="n">
        <v>228533.72</v>
      </c>
      <c r="D811" s="26" t="n">
        <v>5.726</v>
      </c>
      <c r="E811" s="6" t="n">
        <v>810</v>
      </c>
      <c r="F811" s="11" t="n">
        <v>97</v>
      </c>
      <c r="G811" s="11" t="n">
        <v>44.7</v>
      </c>
      <c r="H811" s="6" t="n">
        <v>4</v>
      </c>
      <c r="I811" s="6" t="n">
        <v>176</v>
      </c>
      <c r="J811" s="5" t="inlineStr">
        <is>
          <t>TX</t>
        </is>
      </c>
      <c r="K811" s="5" t="inlineStr">
        <is>
          <t>SFR</t>
        </is>
      </c>
      <c r="L811" s="5" t="inlineStr">
        <is>
          <t>Apex Funding</t>
        </is>
      </c>
      <c r="M811" s="5" t="inlineStr">
        <is>
          <t>Northgate Servicing</t>
        </is>
      </c>
    </row>
    <row r="812">
      <c r="A812" s="7" t="inlineStr">
        <is>
          <t>L100807</t>
        </is>
      </c>
      <c r="B812" s="8" t="n">
        <v>157082.74</v>
      </c>
      <c r="C812" s="8" t="n">
        <v>149998.56</v>
      </c>
      <c r="D812" s="27" t="n">
        <v>6.163</v>
      </c>
      <c r="E812" s="10" t="n">
        <v>610</v>
      </c>
      <c r="F812" s="12" t="n">
        <v>66.7</v>
      </c>
      <c r="G812" s="12" t="n">
        <v>29.9</v>
      </c>
      <c r="H812" s="10" t="n">
        <v>42</v>
      </c>
      <c r="I812" s="10" t="n">
        <v>318</v>
      </c>
      <c r="J812" s="7" t="inlineStr">
        <is>
          <t>FL</t>
        </is>
      </c>
      <c r="K812" s="7" t="inlineStr">
        <is>
          <t>2-4 Unit</t>
        </is>
      </c>
      <c r="L812" s="7" t="inlineStr">
        <is>
          <t>Highline Capital</t>
        </is>
      </c>
      <c r="M812" s="7" t="inlineStr">
        <is>
          <t>Summit Loan Servicing</t>
        </is>
      </c>
    </row>
    <row r="813">
      <c r="A813" s="5" t="inlineStr">
        <is>
          <t>L100808</t>
        </is>
      </c>
      <c r="B813" s="16" t="n">
        <v>217143.28</v>
      </c>
      <c r="C813" s="16" t="n">
        <v>208732.12</v>
      </c>
      <c r="D813" s="26" t="n">
        <v>6.716</v>
      </c>
      <c r="E813" s="6" t="n">
        <v>730</v>
      </c>
      <c r="F813" s="11" t="n">
        <v>67.2</v>
      </c>
      <c r="G813" s="11" t="n">
        <v>42.2</v>
      </c>
      <c r="H813" s="6" t="n">
        <v>40</v>
      </c>
      <c r="I813" s="6" t="n">
        <v>320</v>
      </c>
      <c r="J813" s="5" t="inlineStr">
        <is>
          <t>NY</t>
        </is>
      </c>
      <c r="K813" s="5" t="inlineStr">
        <is>
          <t>SFR</t>
        </is>
      </c>
      <c r="L813" s="5" t="inlineStr">
        <is>
          <t>Coastal Mortgage Co</t>
        </is>
      </c>
      <c r="M813" s="5" t="inlineStr">
        <is>
          <t>Northgate Servicing</t>
        </is>
      </c>
    </row>
    <row r="814">
      <c r="A814" s="7" t="inlineStr">
        <is>
          <t>L100809</t>
        </is>
      </c>
      <c r="B814" s="8" t="n">
        <v>261981.96</v>
      </c>
      <c r="C814" s="8" t="n">
        <v>238562.09</v>
      </c>
      <c r="D814" s="27" t="n">
        <v>6.838</v>
      </c>
      <c r="E814" s="10" t="n">
        <v>639</v>
      </c>
      <c r="F814" s="12" t="n">
        <v>73.2</v>
      </c>
      <c r="G814" s="12" t="n">
        <v>32.9</v>
      </c>
      <c r="H814" s="10" t="n">
        <v>26</v>
      </c>
      <c r="I814" s="10" t="n">
        <v>154</v>
      </c>
      <c r="J814" s="7" t="inlineStr">
        <is>
          <t>OH</t>
        </is>
      </c>
      <c r="K814" s="7" t="inlineStr">
        <is>
          <t>SFR</t>
        </is>
      </c>
      <c r="L814" s="7" t="inlineStr">
        <is>
          <t>Meridian Home Loans</t>
        </is>
      </c>
      <c r="M814" s="7" t="inlineStr">
        <is>
          <t>Pier Asset Mgmt</t>
        </is>
      </c>
    </row>
    <row r="815">
      <c r="A815" s="5" t="inlineStr">
        <is>
          <t>L100810</t>
        </is>
      </c>
      <c r="B815" s="16" t="n">
        <v>226221.72</v>
      </c>
      <c r="C815" s="16" t="n">
        <v>188833.06</v>
      </c>
      <c r="D815" s="26" t="n">
        <v>5.93</v>
      </c>
      <c r="E815" s="6" t="n">
        <v>680</v>
      </c>
      <c r="F815" s="11" t="n">
        <v>74.8</v>
      </c>
      <c r="G815" s="11" t="n">
        <v>38.8</v>
      </c>
      <c r="H815" s="6" t="n">
        <v>43</v>
      </c>
      <c r="I815" s="6" t="n">
        <v>137</v>
      </c>
      <c r="J815" s="5" t="inlineStr">
        <is>
          <t>GA</t>
        </is>
      </c>
      <c r="K815" s="5" t="inlineStr">
        <is>
          <t>SFR</t>
        </is>
      </c>
      <c r="L815" s="5" t="inlineStr">
        <is>
          <t>Meridian Home Loans</t>
        </is>
      </c>
      <c r="M815" s="5" t="inlineStr">
        <is>
          <t>Summit Loan Servicing</t>
        </is>
      </c>
    </row>
    <row r="816">
      <c r="A816" s="7" t="inlineStr">
        <is>
          <t>L100811</t>
        </is>
      </c>
      <c r="B816" s="8" t="n">
        <v>198339.81</v>
      </c>
      <c r="C816" s="8" t="n">
        <v>196286.54</v>
      </c>
      <c r="D816" s="27" t="n">
        <v>8.095000000000001</v>
      </c>
      <c r="E816" s="10" t="n">
        <v>695</v>
      </c>
      <c r="F816" s="12" t="n">
        <v>69.40000000000001</v>
      </c>
      <c r="G816" s="12" t="n">
        <v>32.3</v>
      </c>
      <c r="H816" s="10" t="n">
        <v>15</v>
      </c>
      <c r="I816" s="10" t="n">
        <v>345</v>
      </c>
      <c r="J816" s="7" t="inlineStr">
        <is>
          <t>TX</t>
        </is>
      </c>
      <c r="K816" s="7" t="inlineStr">
        <is>
          <t>2-4 Unit</t>
        </is>
      </c>
      <c r="L816" s="7" t="inlineStr">
        <is>
          <t>Coastal Mortgage Co</t>
        </is>
      </c>
      <c r="M816" s="7" t="inlineStr">
        <is>
          <t>Pier Asset Mgmt</t>
        </is>
      </c>
    </row>
    <row r="817">
      <c r="A817" s="5" t="inlineStr">
        <is>
          <t>L100812</t>
        </is>
      </c>
      <c r="B817" s="16" t="n">
        <v>265271.65</v>
      </c>
      <c r="C817" s="16" t="n">
        <v>256786.75</v>
      </c>
      <c r="D817" s="26" t="n">
        <v>6.78</v>
      </c>
      <c r="E817" s="6" t="n">
        <v>692</v>
      </c>
      <c r="F817" s="11" t="n">
        <v>73.8</v>
      </c>
      <c r="G817" s="11" t="n">
        <v>36.4</v>
      </c>
      <c r="H817" s="6" t="n">
        <v>34</v>
      </c>
      <c r="I817" s="6" t="n">
        <v>326</v>
      </c>
      <c r="J817" s="5" t="inlineStr">
        <is>
          <t>CA</t>
        </is>
      </c>
      <c r="K817" s="5" t="inlineStr">
        <is>
          <t>SFR</t>
        </is>
      </c>
      <c r="L817" s="5" t="inlineStr">
        <is>
          <t>Highline Capital</t>
        </is>
      </c>
      <c r="M817" s="5" t="inlineStr">
        <is>
          <t>Pier Asset Mgmt</t>
        </is>
      </c>
    </row>
    <row r="818">
      <c r="A818" s="7" t="inlineStr">
        <is>
          <t>L100813</t>
        </is>
      </c>
      <c r="B818" s="8" t="n">
        <v>203539.38</v>
      </c>
      <c r="C818" s="8" t="n">
        <v>197350.6</v>
      </c>
      <c r="D818" s="27" t="n">
        <v>6.878</v>
      </c>
      <c r="E818" s="10" t="n">
        <v>686</v>
      </c>
      <c r="F818" s="12" t="n">
        <v>73.5</v>
      </c>
      <c r="G818" s="12" t="n">
        <v>27.4</v>
      </c>
      <c r="H818" s="10" t="n">
        <v>33</v>
      </c>
      <c r="I818" s="10" t="n">
        <v>327</v>
      </c>
      <c r="J818" s="7" t="inlineStr">
        <is>
          <t>TX</t>
        </is>
      </c>
      <c r="K818" s="7" t="inlineStr">
        <is>
          <t>SFR</t>
        </is>
      </c>
      <c r="L818" s="7" t="inlineStr">
        <is>
          <t>Coastal Mortgage Co</t>
        </is>
      </c>
      <c r="M818" s="7" t="inlineStr">
        <is>
          <t>Pier Asset Mgmt</t>
        </is>
      </c>
    </row>
    <row r="819">
      <c r="A819" s="5" t="inlineStr">
        <is>
          <t>L100814</t>
        </is>
      </c>
      <c r="B819" s="16" t="n">
        <v>194887.33</v>
      </c>
      <c r="C819" s="16" t="n">
        <v>190863.44</v>
      </c>
      <c r="D819" s="26" t="n">
        <v>7.983</v>
      </c>
      <c r="E819" s="6" t="n">
        <v>715</v>
      </c>
      <c r="F819" s="11" t="n">
        <v>76.09999999999999</v>
      </c>
      <c r="G819" s="11" t="n">
        <v>38</v>
      </c>
      <c r="H819" s="6" t="n">
        <v>28</v>
      </c>
      <c r="I819" s="6" t="n">
        <v>332</v>
      </c>
      <c r="J819" s="5" t="inlineStr">
        <is>
          <t>NY</t>
        </is>
      </c>
      <c r="K819" s="5" t="inlineStr">
        <is>
          <t>Condo</t>
        </is>
      </c>
      <c r="L819" s="5" t="inlineStr">
        <is>
          <t>Highline Capital</t>
        </is>
      </c>
      <c r="M819" s="5" t="inlineStr">
        <is>
          <t>Summit Loan Servicing</t>
        </is>
      </c>
    </row>
    <row r="820">
      <c r="A820" s="7" t="inlineStr">
        <is>
          <t>L100815</t>
        </is>
      </c>
      <c r="B820" s="8" t="n">
        <v>270765.52</v>
      </c>
      <c r="C820" s="8" t="n">
        <v>258854.26</v>
      </c>
      <c r="D820" s="27" t="n">
        <v>5.996</v>
      </c>
      <c r="E820" s="10" t="n">
        <v>686</v>
      </c>
      <c r="F820" s="12" t="n">
        <v>45.7</v>
      </c>
      <c r="G820" s="12" t="n">
        <v>36.4</v>
      </c>
      <c r="H820" s="10" t="n">
        <v>40</v>
      </c>
      <c r="I820" s="10" t="n">
        <v>320</v>
      </c>
      <c r="J820" s="7" t="inlineStr">
        <is>
          <t>AZ</t>
        </is>
      </c>
      <c r="K820" s="7" t="inlineStr">
        <is>
          <t>Multifamily</t>
        </is>
      </c>
      <c r="L820" s="7" t="inlineStr">
        <is>
          <t>Coastal Mortgage Co</t>
        </is>
      </c>
      <c r="M820" s="7" t="inlineStr">
        <is>
          <t>Pier Asset Mgmt</t>
        </is>
      </c>
    </row>
    <row r="821">
      <c r="A821" s="5" t="inlineStr">
        <is>
          <t>L100816</t>
        </is>
      </c>
      <c r="B821" s="16" t="n">
        <v>210934.43</v>
      </c>
      <c r="C821" s="16" t="n">
        <v>201679.63</v>
      </c>
      <c r="D821" s="26" t="n">
        <v>6.32</v>
      </c>
      <c r="E821" s="6" t="n">
        <v>635</v>
      </c>
      <c r="F821" s="11" t="n">
        <v>96.59999999999999</v>
      </c>
      <c r="G821" s="11" t="n">
        <v>31.7</v>
      </c>
      <c r="H821" s="6" t="n">
        <v>42</v>
      </c>
      <c r="I821" s="6" t="n">
        <v>318</v>
      </c>
      <c r="J821" s="5" t="inlineStr">
        <is>
          <t>CA</t>
        </is>
      </c>
      <c r="K821" s="5" t="inlineStr">
        <is>
          <t>2-4 Unit</t>
        </is>
      </c>
      <c r="L821" s="5" t="inlineStr">
        <is>
          <t>Meridian Home Loans</t>
        </is>
      </c>
      <c r="M821" s="5" t="inlineStr">
        <is>
          <t>Summit Loan Servicing</t>
        </is>
      </c>
    </row>
    <row r="822">
      <c r="A822" s="7" t="inlineStr">
        <is>
          <t>L100817</t>
        </is>
      </c>
      <c r="B822" s="8" t="n">
        <v>264457.68</v>
      </c>
      <c r="C822" s="8" t="n">
        <v>225693.63</v>
      </c>
      <c r="D822" s="27" t="n">
        <v>5.272</v>
      </c>
      <c r="E822" s="10" t="n">
        <v>758</v>
      </c>
      <c r="F822" s="12" t="n">
        <v>72.2</v>
      </c>
      <c r="G822" s="12" t="n">
        <v>35.6</v>
      </c>
      <c r="H822" s="10" t="n">
        <v>37</v>
      </c>
      <c r="I822" s="10" t="n">
        <v>143</v>
      </c>
      <c r="J822" s="7" t="inlineStr">
        <is>
          <t>IL</t>
        </is>
      </c>
      <c r="K822" s="7" t="inlineStr">
        <is>
          <t>2-4 Unit</t>
        </is>
      </c>
      <c r="L822" s="7" t="inlineStr">
        <is>
          <t>Coastal Mortgage Co</t>
        </is>
      </c>
      <c r="M822" s="7" t="inlineStr">
        <is>
          <t>Northgate Servicing</t>
        </is>
      </c>
    </row>
    <row r="823">
      <c r="A823" s="5" t="inlineStr">
        <is>
          <t>L100818</t>
        </is>
      </c>
      <c r="B823" s="16" t="n">
        <v>267164.92</v>
      </c>
      <c r="C823" s="16" t="n">
        <v>240122.93</v>
      </c>
      <c r="D823" s="26" t="n">
        <v>6.245</v>
      </c>
      <c r="E823" s="6" t="n">
        <v>756</v>
      </c>
      <c r="F823" s="11" t="n">
        <v>81</v>
      </c>
      <c r="G823" s="11" t="n">
        <v>37.1</v>
      </c>
      <c r="H823" s="6" t="n">
        <v>28</v>
      </c>
      <c r="I823" s="6" t="n">
        <v>152</v>
      </c>
      <c r="J823" s="5" t="inlineStr">
        <is>
          <t>IL</t>
        </is>
      </c>
      <c r="K823" s="5" t="inlineStr">
        <is>
          <t>SFR</t>
        </is>
      </c>
      <c r="L823" s="5" t="inlineStr">
        <is>
          <t>Meridian Home Loans</t>
        </is>
      </c>
      <c r="M823" s="5" t="inlineStr">
        <is>
          <t>Summit Loan Servicing</t>
        </is>
      </c>
    </row>
    <row r="824">
      <c r="A824" s="7" t="inlineStr">
        <is>
          <t>L100819</t>
        </is>
      </c>
      <c r="B824" s="8" t="n">
        <v>162950.19</v>
      </c>
      <c r="C824" s="8" t="n">
        <v>153143.43</v>
      </c>
      <c r="D824" s="27" t="n">
        <v>5.06</v>
      </c>
      <c r="E824" s="10" t="n">
        <v>761</v>
      </c>
      <c r="F824" s="12" t="n">
        <v>57.5</v>
      </c>
      <c r="G824" s="12" t="n">
        <v>31.1</v>
      </c>
      <c r="H824" s="10" t="n">
        <v>46</v>
      </c>
      <c r="I824" s="10" t="n">
        <v>314</v>
      </c>
      <c r="J824" s="7" t="inlineStr">
        <is>
          <t>TX</t>
        </is>
      </c>
      <c r="K824" s="7" t="inlineStr">
        <is>
          <t>SFR</t>
        </is>
      </c>
      <c r="L824" s="7" t="inlineStr">
        <is>
          <t>Apex Funding</t>
        </is>
      </c>
      <c r="M824" s="7" t="inlineStr">
        <is>
          <t>Pier Asset Mgmt</t>
        </is>
      </c>
    </row>
    <row r="825">
      <c r="A825" s="5" t="inlineStr">
        <is>
          <t>L100820</t>
        </is>
      </c>
      <c r="B825" s="16" t="n">
        <v>205164.14</v>
      </c>
      <c r="C825" s="16" t="n">
        <v>200328.12</v>
      </c>
      <c r="D825" s="26" t="n">
        <v>7.073</v>
      </c>
      <c r="E825" s="6" t="n">
        <v>630</v>
      </c>
      <c r="F825" s="11" t="n">
        <v>68.3</v>
      </c>
      <c r="G825" s="11" t="n">
        <v>35</v>
      </c>
      <c r="H825" s="6" t="n">
        <v>27</v>
      </c>
      <c r="I825" s="6" t="n">
        <v>333</v>
      </c>
      <c r="J825" s="5" t="inlineStr">
        <is>
          <t>CA</t>
        </is>
      </c>
      <c r="K825" s="5" t="inlineStr">
        <is>
          <t>2-4 Unit</t>
        </is>
      </c>
      <c r="L825" s="5" t="inlineStr">
        <is>
          <t>Meridian Home Loans</t>
        </is>
      </c>
      <c r="M825" s="5" t="inlineStr">
        <is>
          <t>Pier Asset Mgmt</t>
        </is>
      </c>
    </row>
    <row r="826">
      <c r="A826" s="7" t="inlineStr">
        <is>
          <t>L100821</t>
        </is>
      </c>
      <c r="B826" s="8" t="n">
        <v>401604.05</v>
      </c>
      <c r="C826" s="8" t="n">
        <v>390396.38</v>
      </c>
      <c r="D826" s="27" t="n">
        <v>6.778</v>
      </c>
      <c r="E826" s="10" t="n">
        <v>731</v>
      </c>
      <c r="F826" s="12" t="n">
        <v>65.90000000000001</v>
      </c>
      <c r="G826" s="12" t="n">
        <v>28</v>
      </c>
      <c r="H826" s="10" t="n">
        <v>30</v>
      </c>
      <c r="I826" s="10" t="n">
        <v>330</v>
      </c>
      <c r="J826" s="7" t="inlineStr">
        <is>
          <t>FL</t>
        </is>
      </c>
      <c r="K826" s="7" t="inlineStr">
        <is>
          <t>2-4 Unit</t>
        </is>
      </c>
      <c r="L826" s="7" t="inlineStr">
        <is>
          <t>Apex Funding</t>
        </is>
      </c>
      <c r="M826" s="7" t="inlineStr">
        <is>
          <t>Summit Loan Servicing</t>
        </is>
      </c>
    </row>
    <row r="827">
      <c r="A827" s="5" t="inlineStr">
        <is>
          <t>L100822</t>
        </is>
      </c>
      <c r="B827" s="16" t="n">
        <v>161663.48</v>
      </c>
      <c r="C827" s="16" t="n">
        <v>160227.19</v>
      </c>
      <c r="D827" s="26" t="n">
        <v>6.151</v>
      </c>
      <c r="E827" s="6" t="n">
        <v>752</v>
      </c>
      <c r="F827" s="11" t="n">
        <v>91.59999999999999</v>
      </c>
      <c r="G827" s="11" t="n">
        <v>54.8</v>
      </c>
      <c r="H827" s="6" t="n">
        <v>9</v>
      </c>
      <c r="I827" s="6" t="n">
        <v>351</v>
      </c>
      <c r="J827" s="5" t="inlineStr">
        <is>
          <t>TX</t>
        </is>
      </c>
      <c r="K827" s="5" t="inlineStr">
        <is>
          <t>2-4 Unit</t>
        </is>
      </c>
      <c r="L827" s="5" t="inlineStr">
        <is>
          <t>Coastal Mortgage Co</t>
        </is>
      </c>
      <c r="M827" s="5" t="inlineStr">
        <is>
          <t>Northgate Servicing</t>
        </is>
      </c>
    </row>
    <row r="828">
      <c r="A828" s="7" t="inlineStr">
        <is>
          <t>L100823</t>
        </is>
      </c>
      <c r="B828" s="8" t="n">
        <v>115748.03</v>
      </c>
      <c r="C828" s="8" t="n">
        <v>113940.83</v>
      </c>
      <c r="D828" s="27" t="n">
        <v>6.31</v>
      </c>
      <c r="E828" s="10" t="n">
        <v>658</v>
      </c>
      <c r="F828" s="12" t="n">
        <v>67</v>
      </c>
      <c r="G828" s="12" t="n">
        <v>44.5</v>
      </c>
      <c r="H828" s="10" t="n">
        <v>16</v>
      </c>
      <c r="I828" s="10" t="n">
        <v>344</v>
      </c>
      <c r="J828" s="7" t="inlineStr">
        <is>
          <t>AZ</t>
        </is>
      </c>
      <c r="K828" s="7" t="inlineStr">
        <is>
          <t>2-4 Unit</t>
        </is>
      </c>
      <c r="L828" s="7" t="inlineStr">
        <is>
          <t>Coastal Mortgage Co</t>
        </is>
      </c>
      <c r="M828" s="7" t="inlineStr">
        <is>
          <t>Summit Loan Servicing</t>
        </is>
      </c>
    </row>
    <row r="829">
      <c r="A829" s="5" t="inlineStr">
        <is>
          <t>L100824</t>
        </is>
      </c>
      <c r="B829" s="16" t="n">
        <v>126545.12</v>
      </c>
      <c r="C829" s="16" t="n">
        <v>121568.68</v>
      </c>
      <c r="D829" s="26" t="n">
        <v>7.085</v>
      </c>
      <c r="E829" s="6" t="n">
        <v>716</v>
      </c>
      <c r="F829" s="11" t="n">
        <v>83.09999999999999</v>
      </c>
      <c r="G829" s="11" t="n">
        <v>38.2</v>
      </c>
      <c r="H829" s="6" t="n">
        <v>43</v>
      </c>
      <c r="I829" s="6" t="n">
        <v>317</v>
      </c>
      <c r="J829" s="5" t="inlineStr">
        <is>
          <t>WA</t>
        </is>
      </c>
      <c r="K829" s="5" t="inlineStr">
        <is>
          <t>2-4 Unit</t>
        </is>
      </c>
      <c r="L829" s="5" t="inlineStr">
        <is>
          <t>Apex Funding</t>
        </is>
      </c>
      <c r="M829" s="5" t="inlineStr">
        <is>
          <t>Northgate Servicing</t>
        </is>
      </c>
    </row>
    <row r="830">
      <c r="A830" s="7" t="inlineStr">
        <is>
          <t>L100825</t>
        </is>
      </c>
      <c r="B830" s="8" t="n">
        <v>245288.04</v>
      </c>
      <c r="C830" s="8" t="n">
        <v>238343.97</v>
      </c>
      <c r="D830" s="27" t="n">
        <v>5.378</v>
      </c>
      <c r="E830" s="10" t="n">
        <v>709</v>
      </c>
      <c r="F830" s="12" t="n">
        <v>66.2</v>
      </c>
      <c r="G830" s="12" t="n">
        <v>45.4</v>
      </c>
      <c r="H830" s="10" t="n">
        <v>24</v>
      </c>
      <c r="I830" s="10" t="n">
        <v>336</v>
      </c>
      <c r="J830" s="7" t="inlineStr">
        <is>
          <t>NC</t>
        </is>
      </c>
      <c r="K830" s="7" t="inlineStr">
        <is>
          <t>SFR</t>
        </is>
      </c>
      <c r="L830" s="7" t="inlineStr">
        <is>
          <t>Apex Funding</t>
        </is>
      </c>
      <c r="M830" s="7" t="inlineStr">
        <is>
          <t>Northgate Servicing</t>
        </is>
      </c>
    </row>
    <row r="831">
      <c r="A831" s="5" t="inlineStr">
        <is>
          <t>L100826</t>
        </is>
      </c>
      <c r="B831" s="16" t="n">
        <v>245443.25</v>
      </c>
      <c r="C831" s="16" t="n">
        <v>223995.63</v>
      </c>
      <c r="D831" s="26" t="n">
        <v>6.584</v>
      </c>
      <c r="E831" s="6" t="n">
        <v>816</v>
      </c>
      <c r="F831" s="11" t="n">
        <v>68.59999999999999</v>
      </c>
      <c r="G831" s="11" t="n">
        <v>20.2</v>
      </c>
      <c r="H831" s="6" t="n">
        <v>25</v>
      </c>
      <c r="I831" s="6" t="n">
        <v>155</v>
      </c>
      <c r="J831" s="5" t="inlineStr">
        <is>
          <t>AZ</t>
        </is>
      </c>
      <c r="K831" s="5" t="inlineStr">
        <is>
          <t>SFR</t>
        </is>
      </c>
      <c r="L831" s="5" t="inlineStr">
        <is>
          <t>Highline Capital</t>
        </is>
      </c>
      <c r="M831" s="5" t="inlineStr">
        <is>
          <t>Pier Asset Mgmt</t>
        </is>
      </c>
    </row>
    <row r="832">
      <c r="A832" s="7" t="inlineStr">
        <is>
          <t>L100827</t>
        </is>
      </c>
      <c r="B832" s="8" t="n">
        <v>233009.9</v>
      </c>
      <c r="C832" s="8" t="n">
        <v>224717.97</v>
      </c>
      <c r="D832" s="27" t="n">
        <v>7.03</v>
      </c>
      <c r="E832" s="10" t="n">
        <v>820</v>
      </c>
      <c r="F832" s="12" t="n">
        <v>71.09999999999999</v>
      </c>
      <c r="G832" s="12" t="n">
        <v>15.5</v>
      </c>
      <c r="H832" s="10" t="n">
        <v>39</v>
      </c>
      <c r="I832" s="10" t="n">
        <v>321</v>
      </c>
      <c r="J832" s="7" t="inlineStr">
        <is>
          <t>AZ</t>
        </is>
      </c>
      <c r="K832" s="7" t="inlineStr">
        <is>
          <t>Multifamily</t>
        </is>
      </c>
      <c r="L832" s="7" t="inlineStr">
        <is>
          <t>Coastal Mortgage Co</t>
        </is>
      </c>
      <c r="M832" s="7" t="inlineStr">
        <is>
          <t>Summit Loan Servicing</t>
        </is>
      </c>
    </row>
    <row r="833">
      <c r="A833" s="5" t="inlineStr">
        <is>
          <t>L100828</t>
        </is>
      </c>
      <c r="B833" s="16" t="n">
        <v>371374.56</v>
      </c>
      <c r="C833" s="16" t="n">
        <v>363735.11</v>
      </c>
      <c r="D833" s="26" t="n">
        <v>4.796</v>
      </c>
      <c r="E833" s="6" t="n">
        <v>623</v>
      </c>
      <c r="F833" s="11" t="n">
        <v>89.40000000000001</v>
      </c>
      <c r="G833" s="11" t="n">
        <v>32.8</v>
      </c>
      <c r="H833" s="6" t="n">
        <v>16</v>
      </c>
      <c r="I833" s="6" t="n">
        <v>344</v>
      </c>
      <c r="J833" s="5" t="inlineStr">
        <is>
          <t>OH</t>
        </is>
      </c>
      <c r="K833" s="5" t="inlineStr">
        <is>
          <t>SFR</t>
        </is>
      </c>
      <c r="L833" s="5" t="inlineStr">
        <is>
          <t>Highline Capital</t>
        </is>
      </c>
      <c r="M833" s="5" t="inlineStr">
        <is>
          <t>Summit Loan Servicing</t>
        </is>
      </c>
    </row>
    <row r="834">
      <c r="A834" s="7" t="inlineStr">
        <is>
          <t>L100829</t>
        </is>
      </c>
      <c r="B834" s="8" t="n">
        <v>95273.59</v>
      </c>
      <c r="C834" s="8" t="n">
        <v>94225.28</v>
      </c>
      <c r="D834" s="27" t="n">
        <v>7.016</v>
      </c>
      <c r="E834" s="10" t="n">
        <v>820</v>
      </c>
      <c r="F834" s="12" t="n">
        <v>51.3</v>
      </c>
      <c r="G834" s="12" t="n">
        <v>25</v>
      </c>
      <c r="H834" s="10" t="n">
        <v>13</v>
      </c>
      <c r="I834" s="10" t="n">
        <v>347</v>
      </c>
      <c r="J834" s="7" t="inlineStr">
        <is>
          <t>CA</t>
        </is>
      </c>
      <c r="K834" s="7" t="inlineStr">
        <is>
          <t>SFR</t>
        </is>
      </c>
      <c r="L834" s="7" t="inlineStr">
        <is>
          <t>Highline Capital</t>
        </is>
      </c>
      <c r="M834" s="7" t="inlineStr">
        <is>
          <t>Northgate Servicing</t>
        </is>
      </c>
    </row>
    <row r="835">
      <c r="A835" s="5" t="inlineStr">
        <is>
          <t>L100830</t>
        </is>
      </c>
      <c r="B835" s="16" t="n">
        <v>278891.15</v>
      </c>
      <c r="C835" s="16" t="n">
        <v>278549.37</v>
      </c>
      <c r="D835" s="26" t="n">
        <v>4.893</v>
      </c>
      <c r="E835" s="6" t="n">
        <v>665</v>
      </c>
      <c r="F835" s="11" t="n">
        <v>58.2</v>
      </c>
      <c r="G835" s="11" t="n">
        <v>34.1</v>
      </c>
      <c r="H835" s="6" t="n">
        <v>1</v>
      </c>
      <c r="I835" s="6" t="n">
        <v>359</v>
      </c>
      <c r="J835" s="5" t="inlineStr">
        <is>
          <t>WA</t>
        </is>
      </c>
      <c r="K835" s="5" t="inlineStr">
        <is>
          <t>SFR</t>
        </is>
      </c>
      <c r="L835" s="5" t="inlineStr">
        <is>
          <t>Highline Capital</t>
        </is>
      </c>
      <c r="M835" s="5" t="inlineStr">
        <is>
          <t>Pier Asset Mgmt</t>
        </is>
      </c>
    </row>
    <row r="836">
      <c r="A836" s="7" t="inlineStr">
        <is>
          <t>L100831</t>
        </is>
      </c>
      <c r="B836" s="8" t="n">
        <v>419367.7</v>
      </c>
      <c r="C836" s="8" t="n">
        <v>414912.04</v>
      </c>
      <c r="D836" s="27" t="n">
        <v>6.294</v>
      </c>
      <c r="E836" s="10" t="n">
        <v>769</v>
      </c>
      <c r="F836" s="12" t="n">
        <v>50.6</v>
      </c>
      <c r="G836" s="12" t="n">
        <v>37.6</v>
      </c>
      <c r="H836" s="10" t="n">
        <v>11</v>
      </c>
      <c r="I836" s="10" t="n">
        <v>349</v>
      </c>
      <c r="J836" s="7" t="inlineStr">
        <is>
          <t>IL</t>
        </is>
      </c>
      <c r="K836" s="7" t="inlineStr">
        <is>
          <t>SFR</t>
        </is>
      </c>
      <c r="L836" s="7" t="inlineStr">
        <is>
          <t>Highline Capital</t>
        </is>
      </c>
      <c r="M836" s="7" t="inlineStr">
        <is>
          <t>Pier Asset Mgmt</t>
        </is>
      </c>
    </row>
    <row r="837">
      <c r="A837" s="5" t="inlineStr">
        <is>
          <t>L100832</t>
        </is>
      </c>
      <c r="B837" s="16" t="n">
        <v>163615.87</v>
      </c>
      <c r="C837" s="16" t="n">
        <v>158758.47</v>
      </c>
      <c r="D837" s="26" t="n">
        <v>5.353</v>
      </c>
      <c r="E837" s="6" t="n">
        <v>768</v>
      </c>
      <c r="F837" s="11" t="n">
        <v>60.9</v>
      </c>
      <c r="G837" s="11" t="n">
        <v>43.4</v>
      </c>
      <c r="H837" s="6" t="n">
        <v>25</v>
      </c>
      <c r="I837" s="6" t="n">
        <v>335</v>
      </c>
      <c r="J837" s="5" t="inlineStr">
        <is>
          <t>GA</t>
        </is>
      </c>
      <c r="K837" s="5" t="inlineStr">
        <is>
          <t>2-4 Unit</t>
        </is>
      </c>
      <c r="L837" s="5" t="inlineStr">
        <is>
          <t>Highline Capital</t>
        </is>
      </c>
      <c r="M837" s="5" t="inlineStr">
        <is>
          <t>Summit Loan Servicing</t>
        </is>
      </c>
    </row>
    <row r="838">
      <c r="A838" s="7" t="inlineStr">
        <is>
          <t>L100833</t>
        </is>
      </c>
      <c r="B838" s="8" t="n">
        <v>212578.74</v>
      </c>
      <c r="C838" s="8" t="n">
        <v>206639.38</v>
      </c>
      <c r="D838" s="27" t="n">
        <v>7.688</v>
      </c>
      <c r="E838" s="10" t="n">
        <v>660</v>
      </c>
      <c r="F838" s="12" t="n">
        <v>64.3</v>
      </c>
      <c r="G838" s="12" t="n">
        <v>26.9</v>
      </c>
      <c r="H838" s="10" t="n">
        <v>35</v>
      </c>
      <c r="I838" s="10" t="n">
        <v>325</v>
      </c>
      <c r="J838" s="7" t="inlineStr">
        <is>
          <t>AZ</t>
        </is>
      </c>
      <c r="K838" s="7" t="inlineStr">
        <is>
          <t>2-4 Unit</t>
        </is>
      </c>
      <c r="L838" s="7" t="inlineStr">
        <is>
          <t>Coastal Mortgage Co</t>
        </is>
      </c>
      <c r="M838" s="7" t="inlineStr">
        <is>
          <t>Summit Loan Servicing</t>
        </is>
      </c>
    </row>
    <row r="839">
      <c r="A839" s="5" t="inlineStr">
        <is>
          <t>L100834</t>
        </is>
      </c>
      <c r="B839" s="16" t="n">
        <v>186556.2</v>
      </c>
      <c r="C839" s="16" t="n">
        <v>175349.29</v>
      </c>
      <c r="D839" s="26" t="n">
        <v>5.359</v>
      </c>
      <c r="E839" s="6" t="n">
        <v>742</v>
      </c>
      <c r="F839" s="11" t="n">
        <v>54.6</v>
      </c>
      <c r="G839" s="11" t="n">
        <v>39.2</v>
      </c>
      <c r="H839" s="6" t="n">
        <v>16</v>
      </c>
      <c r="I839" s="6" t="n">
        <v>164</v>
      </c>
      <c r="J839" s="5" t="inlineStr">
        <is>
          <t>IL</t>
        </is>
      </c>
      <c r="K839" s="5" t="inlineStr">
        <is>
          <t>SFR</t>
        </is>
      </c>
      <c r="L839" s="5" t="inlineStr">
        <is>
          <t>Apex Funding</t>
        </is>
      </c>
      <c r="M839" s="5" t="inlineStr">
        <is>
          <t>Pier Asset Mgmt</t>
        </is>
      </c>
    </row>
    <row r="840">
      <c r="A840" s="7" t="inlineStr">
        <is>
          <t>L100835</t>
        </is>
      </c>
      <c r="B840" s="8" t="n">
        <v>177544.91</v>
      </c>
      <c r="C840" s="8" t="n">
        <v>172802.83</v>
      </c>
      <c r="D840" s="27" t="n">
        <v>4.915</v>
      </c>
      <c r="E840" s="10" t="n">
        <v>709</v>
      </c>
      <c r="F840" s="12" t="n">
        <v>65.2</v>
      </c>
      <c r="G840" s="12" t="n">
        <v>36.1</v>
      </c>
      <c r="H840" s="10" t="n">
        <v>21</v>
      </c>
      <c r="I840" s="10" t="n">
        <v>339</v>
      </c>
      <c r="J840" s="7" t="inlineStr">
        <is>
          <t>FL</t>
        </is>
      </c>
      <c r="K840" s="7" t="inlineStr">
        <is>
          <t>SFR</t>
        </is>
      </c>
      <c r="L840" s="7" t="inlineStr">
        <is>
          <t>Highline Capital</t>
        </is>
      </c>
      <c r="M840" s="7" t="inlineStr">
        <is>
          <t>Pier Asset Mgmt</t>
        </is>
      </c>
    </row>
    <row r="841">
      <c r="A841" s="5" t="inlineStr">
        <is>
          <t>L100836</t>
        </is>
      </c>
      <c r="B841" s="16" t="n">
        <v>216600.15</v>
      </c>
      <c r="C841" s="16" t="n">
        <v>214395.35</v>
      </c>
      <c r="D841" s="26" t="n">
        <v>6.52</v>
      </c>
      <c r="E841" s="6" t="n">
        <v>745</v>
      </c>
      <c r="F841" s="11" t="n">
        <v>49.8</v>
      </c>
      <c r="G841" s="11" t="n">
        <v>38.8</v>
      </c>
      <c r="H841" s="6" t="n">
        <v>11</v>
      </c>
      <c r="I841" s="6" t="n">
        <v>349</v>
      </c>
      <c r="J841" s="5" t="inlineStr">
        <is>
          <t>CA</t>
        </is>
      </c>
      <c r="K841" s="5" t="inlineStr">
        <is>
          <t>SFR</t>
        </is>
      </c>
      <c r="L841" s="5" t="inlineStr">
        <is>
          <t>Coastal Mortgage Co</t>
        </is>
      </c>
      <c r="M841" s="5" t="inlineStr">
        <is>
          <t>Northgate Servicing</t>
        </is>
      </c>
    </row>
    <row r="842">
      <c r="A842" s="7" t="inlineStr">
        <is>
          <t>L100837</t>
        </is>
      </c>
      <c r="B842" s="8" t="n">
        <v>400160.04</v>
      </c>
      <c r="C842" s="8" t="n">
        <v>383136.42</v>
      </c>
      <c r="D842" s="27" t="n">
        <v>6.028</v>
      </c>
      <c r="E842" s="10" t="n">
        <v>728</v>
      </c>
      <c r="F842" s="12" t="n">
        <v>61.8</v>
      </c>
      <c r="G842" s="12" t="n">
        <v>31.8</v>
      </c>
      <c r="H842" s="10" t="n">
        <v>39</v>
      </c>
      <c r="I842" s="10" t="n">
        <v>321</v>
      </c>
      <c r="J842" s="7" t="inlineStr">
        <is>
          <t>TX</t>
        </is>
      </c>
      <c r="K842" s="7" t="inlineStr">
        <is>
          <t>2-4 Unit</t>
        </is>
      </c>
      <c r="L842" s="7" t="inlineStr">
        <is>
          <t>Highline Capital</t>
        </is>
      </c>
      <c r="M842" s="7" t="inlineStr">
        <is>
          <t>Summit Loan Servicing</t>
        </is>
      </c>
    </row>
    <row r="843">
      <c r="A843" s="5" t="inlineStr">
        <is>
          <t>L100838</t>
        </is>
      </c>
      <c r="B843" s="16" t="n">
        <v>461891.52</v>
      </c>
      <c r="C843" s="16" t="n">
        <v>447417.4</v>
      </c>
      <c r="D843" s="26" t="n">
        <v>5.046</v>
      </c>
      <c r="E843" s="6" t="n">
        <v>781</v>
      </c>
      <c r="F843" s="11" t="n">
        <v>88.40000000000001</v>
      </c>
      <c r="G843" s="11" t="n">
        <v>47.1</v>
      </c>
      <c r="H843" s="6" t="n">
        <v>25</v>
      </c>
      <c r="I843" s="6" t="n">
        <v>335</v>
      </c>
      <c r="J843" s="5" t="inlineStr">
        <is>
          <t>CA</t>
        </is>
      </c>
      <c r="K843" s="5" t="inlineStr">
        <is>
          <t>SFR</t>
        </is>
      </c>
      <c r="L843" s="5" t="inlineStr">
        <is>
          <t>Apex Funding</t>
        </is>
      </c>
      <c r="M843" s="5" t="inlineStr">
        <is>
          <t>Summit Loan Servicing</t>
        </is>
      </c>
    </row>
    <row r="844">
      <c r="A844" s="7" t="inlineStr">
        <is>
          <t>L100839</t>
        </is>
      </c>
      <c r="B844" s="8" t="n">
        <v>215867.76</v>
      </c>
      <c r="C844" s="8" t="n">
        <v>210963.92</v>
      </c>
      <c r="D844" s="27" t="n">
        <v>6.873</v>
      </c>
      <c r="E844" s="10" t="n">
        <v>719</v>
      </c>
      <c r="F844" s="12" t="n">
        <v>78.8</v>
      </c>
      <c r="G844" s="12" t="n">
        <v>35.2</v>
      </c>
      <c r="H844" s="10" t="n">
        <v>7</v>
      </c>
      <c r="I844" s="10" t="n">
        <v>173</v>
      </c>
      <c r="J844" s="7" t="inlineStr">
        <is>
          <t>NY</t>
        </is>
      </c>
      <c r="K844" s="7" t="inlineStr">
        <is>
          <t>SFR</t>
        </is>
      </c>
      <c r="L844" s="7" t="inlineStr">
        <is>
          <t>Coastal Mortgage Co</t>
        </is>
      </c>
      <c r="M844" s="7" t="inlineStr">
        <is>
          <t>Pier Asset Mgmt</t>
        </is>
      </c>
    </row>
    <row r="845">
      <c r="A845" s="5" t="inlineStr">
        <is>
          <t>L100840</t>
        </is>
      </c>
      <c r="B845" s="16" t="n">
        <v>472962.35</v>
      </c>
      <c r="C845" s="16" t="n">
        <v>454266.17</v>
      </c>
      <c r="D845" s="26" t="n">
        <v>4.608</v>
      </c>
      <c r="E845" s="6" t="n">
        <v>706</v>
      </c>
      <c r="F845" s="11" t="n">
        <v>76.2</v>
      </c>
      <c r="G845" s="11" t="n">
        <v>50.2</v>
      </c>
      <c r="H845" s="6" t="n">
        <v>29</v>
      </c>
      <c r="I845" s="6" t="n">
        <v>331</v>
      </c>
      <c r="J845" s="5" t="inlineStr">
        <is>
          <t>AZ</t>
        </is>
      </c>
      <c r="K845" s="5" t="inlineStr">
        <is>
          <t>SFR</t>
        </is>
      </c>
      <c r="L845" s="5" t="inlineStr">
        <is>
          <t>Highline Capital</t>
        </is>
      </c>
      <c r="M845" s="5" t="inlineStr">
        <is>
          <t>Summit Loan Servicing</t>
        </is>
      </c>
    </row>
    <row r="846">
      <c r="A846" s="7" t="inlineStr">
        <is>
          <t>L100841</t>
        </is>
      </c>
      <c r="B846" s="8" t="n">
        <v>245843.83</v>
      </c>
      <c r="C846" s="8" t="n">
        <v>241360.37</v>
      </c>
      <c r="D846" s="27" t="n">
        <v>5.467</v>
      </c>
      <c r="E846" s="10" t="n">
        <v>775</v>
      </c>
      <c r="F846" s="12" t="n">
        <v>62</v>
      </c>
      <c r="G846" s="12" t="n">
        <v>29.7</v>
      </c>
      <c r="H846" s="10" t="n">
        <v>16</v>
      </c>
      <c r="I846" s="10" t="n">
        <v>344</v>
      </c>
      <c r="J846" s="7" t="inlineStr">
        <is>
          <t>NY</t>
        </is>
      </c>
      <c r="K846" s="7" t="inlineStr">
        <is>
          <t>SFR</t>
        </is>
      </c>
      <c r="L846" s="7" t="inlineStr">
        <is>
          <t>Meridian Home Loans</t>
        </is>
      </c>
      <c r="M846" s="7" t="inlineStr">
        <is>
          <t>Summit Loan Servicing</t>
        </is>
      </c>
    </row>
    <row r="847">
      <c r="A847" s="5" t="inlineStr">
        <is>
          <t>L100842</t>
        </is>
      </c>
      <c r="B847" s="16" t="n">
        <v>448557.37</v>
      </c>
      <c r="C847" s="16" t="n">
        <v>427873.74</v>
      </c>
      <c r="D847" s="26" t="n">
        <v>5.882</v>
      </c>
      <c r="E847" s="6" t="n">
        <v>747</v>
      </c>
      <c r="F847" s="11" t="n">
        <v>55.6</v>
      </c>
      <c r="G847" s="11" t="n">
        <v>41.9</v>
      </c>
      <c r="H847" s="6" t="n">
        <v>41</v>
      </c>
      <c r="I847" s="6" t="n">
        <v>319</v>
      </c>
      <c r="J847" s="5" t="inlineStr">
        <is>
          <t>GA</t>
        </is>
      </c>
      <c r="K847" s="5" t="inlineStr">
        <is>
          <t>SFR</t>
        </is>
      </c>
      <c r="L847" s="5" t="inlineStr">
        <is>
          <t>Apex Funding</t>
        </is>
      </c>
      <c r="M847" s="5" t="inlineStr">
        <is>
          <t>Northgate Servicing</t>
        </is>
      </c>
    </row>
    <row r="848">
      <c r="A848" s="7" t="inlineStr">
        <is>
          <t>L100843</t>
        </is>
      </c>
      <c r="B848" s="8" t="n">
        <v>235001.1</v>
      </c>
      <c r="C848" s="8" t="n">
        <v>232467.63</v>
      </c>
      <c r="D848" s="27" t="n">
        <v>7.122</v>
      </c>
      <c r="E848" s="10" t="n">
        <v>755</v>
      </c>
      <c r="F848" s="12" t="n">
        <v>60.3</v>
      </c>
      <c r="G848" s="12" t="n">
        <v>35.5</v>
      </c>
      <c r="H848" s="10" t="n">
        <v>13</v>
      </c>
      <c r="I848" s="10" t="n">
        <v>347</v>
      </c>
      <c r="J848" s="7" t="inlineStr">
        <is>
          <t>TX</t>
        </is>
      </c>
      <c r="K848" s="7" t="inlineStr">
        <is>
          <t>Condo</t>
        </is>
      </c>
      <c r="L848" s="7" t="inlineStr">
        <is>
          <t>Highline Capital</t>
        </is>
      </c>
      <c r="M848" s="7" t="inlineStr">
        <is>
          <t>Pier Asset Mgmt</t>
        </is>
      </c>
    </row>
    <row r="849">
      <c r="A849" s="5" t="inlineStr">
        <is>
          <t>L100844</t>
        </is>
      </c>
      <c r="B849" s="16" t="n">
        <v>254198.37</v>
      </c>
      <c r="C849" s="16" t="n">
        <v>218614.2</v>
      </c>
      <c r="D849" s="26" t="n">
        <v>7.566</v>
      </c>
      <c r="E849" s="6" t="n">
        <v>678</v>
      </c>
      <c r="F849" s="11" t="n">
        <v>73.5</v>
      </c>
      <c r="G849" s="11" t="n">
        <v>33.4</v>
      </c>
      <c r="H849" s="6" t="n">
        <v>41</v>
      </c>
      <c r="I849" s="6" t="n">
        <v>139</v>
      </c>
      <c r="J849" s="5" t="inlineStr">
        <is>
          <t>GA</t>
        </is>
      </c>
      <c r="K849" s="5" t="inlineStr">
        <is>
          <t>SFR</t>
        </is>
      </c>
      <c r="L849" s="5" t="inlineStr">
        <is>
          <t>Meridian Home Loans</t>
        </is>
      </c>
      <c r="M849" s="5" t="inlineStr">
        <is>
          <t>Pier Asset Mgmt</t>
        </is>
      </c>
    </row>
    <row r="850">
      <c r="A850" s="7" t="inlineStr">
        <is>
          <t>L100845</t>
        </is>
      </c>
      <c r="B850" s="8" t="n">
        <v>275933.75</v>
      </c>
      <c r="C850" s="8" t="n">
        <v>268303.86</v>
      </c>
      <c r="D850" s="27" t="n">
        <v>7.393</v>
      </c>
      <c r="E850" s="10" t="n">
        <v>658</v>
      </c>
      <c r="F850" s="12" t="n">
        <v>84.40000000000001</v>
      </c>
      <c r="G850" s="12" t="n">
        <v>41.1</v>
      </c>
      <c r="H850" s="10" t="n">
        <v>33</v>
      </c>
      <c r="I850" s="10" t="n">
        <v>327</v>
      </c>
      <c r="J850" s="7" t="inlineStr">
        <is>
          <t>WA</t>
        </is>
      </c>
      <c r="K850" s="7" t="inlineStr">
        <is>
          <t>SFR</t>
        </is>
      </c>
      <c r="L850" s="7" t="inlineStr">
        <is>
          <t>Coastal Mortgage Co</t>
        </is>
      </c>
      <c r="M850" s="7" t="inlineStr">
        <is>
          <t>Northgate Servicing</t>
        </is>
      </c>
    </row>
    <row r="851">
      <c r="A851" s="5" t="inlineStr">
        <is>
          <t>L100846</t>
        </is>
      </c>
      <c r="B851" s="16" t="n">
        <v>738664.27</v>
      </c>
      <c r="C851" s="16" t="n">
        <v>733692.2</v>
      </c>
      <c r="D851" s="26" t="n">
        <v>6.262</v>
      </c>
      <c r="E851" s="6" t="n">
        <v>684</v>
      </c>
      <c r="F851" s="11" t="n">
        <v>84.8</v>
      </c>
      <c r="G851" s="11" t="n">
        <v>33.6</v>
      </c>
      <c r="H851" s="6" t="n">
        <v>7</v>
      </c>
      <c r="I851" s="6" t="n">
        <v>353</v>
      </c>
      <c r="J851" s="5" t="inlineStr">
        <is>
          <t>NY</t>
        </is>
      </c>
      <c r="K851" s="5" t="inlineStr">
        <is>
          <t>SFR</t>
        </is>
      </c>
      <c r="L851" s="5" t="inlineStr">
        <is>
          <t>Apex Funding</t>
        </is>
      </c>
      <c r="M851" s="5" t="inlineStr">
        <is>
          <t>Northgate Servicing</t>
        </is>
      </c>
    </row>
    <row r="852">
      <c r="A852" s="7" t="inlineStr">
        <is>
          <t>L100847</t>
        </is>
      </c>
      <c r="B852" s="8" t="n">
        <v>327076.69</v>
      </c>
      <c r="C852" s="8" t="n">
        <v>309707.2</v>
      </c>
      <c r="D852" s="27" t="n">
        <v>4.215</v>
      </c>
      <c r="E852" s="10" t="n">
        <v>681</v>
      </c>
      <c r="F852" s="12" t="n">
        <v>81.59999999999999</v>
      </c>
      <c r="G852" s="12" t="n">
        <v>14.7</v>
      </c>
      <c r="H852" s="10" t="n">
        <v>36</v>
      </c>
      <c r="I852" s="10" t="n">
        <v>324</v>
      </c>
      <c r="J852" s="7" t="inlineStr">
        <is>
          <t>IL</t>
        </is>
      </c>
      <c r="K852" s="7" t="inlineStr">
        <is>
          <t>SFR</t>
        </is>
      </c>
      <c r="L852" s="7" t="inlineStr">
        <is>
          <t>Meridian Home Loans</t>
        </is>
      </c>
      <c r="M852" s="7" t="inlineStr">
        <is>
          <t>Northgate Servicing</t>
        </is>
      </c>
    </row>
    <row r="853">
      <c r="A853" s="5" t="inlineStr">
        <is>
          <t>L100848</t>
        </is>
      </c>
      <c r="B853" s="16" t="n">
        <v>189559.34</v>
      </c>
      <c r="C853" s="16" t="n">
        <v>183465.21</v>
      </c>
      <c r="D853" s="26" t="n">
        <v>6.752</v>
      </c>
      <c r="E853" s="6" t="n">
        <v>758</v>
      </c>
      <c r="F853" s="11" t="n">
        <v>65.09999999999999</v>
      </c>
      <c r="G853" s="11" t="n">
        <v>11.5</v>
      </c>
      <c r="H853" s="6" t="n">
        <v>34</v>
      </c>
      <c r="I853" s="6" t="n">
        <v>326</v>
      </c>
      <c r="J853" s="5" t="inlineStr">
        <is>
          <t>WA</t>
        </is>
      </c>
      <c r="K853" s="5" t="inlineStr">
        <is>
          <t>SFR</t>
        </is>
      </c>
      <c r="L853" s="5" t="inlineStr">
        <is>
          <t>Highline Capital</t>
        </is>
      </c>
      <c r="M853" s="5" t="inlineStr">
        <is>
          <t>Summit Loan Servicing</t>
        </is>
      </c>
    </row>
    <row r="854">
      <c r="A854" s="7" t="inlineStr">
        <is>
          <t>L100849</t>
        </is>
      </c>
      <c r="B854" s="8" t="n">
        <v>340833.46</v>
      </c>
      <c r="C854" s="8" t="n">
        <v>335137.95</v>
      </c>
      <c r="D854" s="27" t="n">
        <v>7.724</v>
      </c>
      <c r="E854" s="10" t="n">
        <v>769</v>
      </c>
      <c r="F854" s="12" t="n">
        <v>74.3</v>
      </c>
      <c r="G854" s="12" t="n">
        <v>46.2</v>
      </c>
      <c r="H854" s="10" t="n">
        <v>22</v>
      </c>
      <c r="I854" s="10" t="n">
        <v>338</v>
      </c>
      <c r="J854" s="7" t="inlineStr">
        <is>
          <t>NC</t>
        </is>
      </c>
      <c r="K854" s="7" t="inlineStr">
        <is>
          <t>Condo</t>
        </is>
      </c>
      <c r="L854" s="7" t="inlineStr">
        <is>
          <t>Apex Funding</t>
        </is>
      </c>
      <c r="M854" s="7" t="inlineStr">
        <is>
          <t>Summit Loan Servicing</t>
        </is>
      </c>
    </row>
    <row r="855">
      <c r="A855" s="5" t="inlineStr">
        <is>
          <t>L100850</t>
        </is>
      </c>
      <c r="B855" s="16" t="n">
        <v>213920.26</v>
      </c>
      <c r="C855" s="16" t="n">
        <v>212624.61</v>
      </c>
      <c r="D855" s="26" t="n">
        <v>7.51</v>
      </c>
      <c r="E855" s="6" t="n">
        <v>706</v>
      </c>
      <c r="F855" s="11" t="n">
        <v>70.09999999999999</v>
      </c>
      <c r="G855" s="11" t="n">
        <v>45.8</v>
      </c>
      <c r="H855" s="6" t="n">
        <v>8</v>
      </c>
      <c r="I855" s="6" t="n">
        <v>352</v>
      </c>
      <c r="J855" s="5" t="inlineStr">
        <is>
          <t>NY</t>
        </is>
      </c>
      <c r="K855" s="5" t="inlineStr">
        <is>
          <t>SFR</t>
        </is>
      </c>
      <c r="L855" s="5" t="inlineStr">
        <is>
          <t>Coastal Mortgage Co</t>
        </is>
      </c>
      <c r="M855" s="5" t="inlineStr">
        <is>
          <t>Summit Loan Servicing</t>
        </is>
      </c>
    </row>
    <row r="856">
      <c r="A856" s="7" t="inlineStr">
        <is>
          <t>L100851</t>
        </is>
      </c>
      <c r="B856" s="8" t="n">
        <v>204554.03</v>
      </c>
      <c r="C856" s="8" t="n">
        <v>200296.15</v>
      </c>
      <c r="D856" s="27" t="n">
        <v>6.817</v>
      </c>
      <c r="E856" s="10" t="n">
        <v>794</v>
      </c>
      <c r="F856" s="12" t="n">
        <v>71.59999999999999</v>
      </c>
      <c r="G856" s="12" t="n">
        <v>51.1</v>
      </c>
      <c r="H856" s="10" t="n">
        <v>23</v>
      </c>
      <c r="I856" s="10" t="n">
        <v>337</v>
      </c>
      <c r="J856" s="7" t="inlineStr">
        <is>
          <t>TX</t>
        </is>
      </c>
      <c r="K856" s="7" t="inlineStr">
        <is>
          <t>2-4 Unit</t>
        </is>
      </c>
      <c r="L856" s="7" t="inlineStr">
        <is>
          <t>Coastal Mortgage Co</t>
        </is>
      </c>
      <c r="M856" s="7" t="inlineStr">
        <is>
          <t>Summit Loan Servicing</t>
        </is>
      </c>
    </row>
    <row r="857">
      <c r="A857" s="5" t="inlineStr">
        <is>
          <t>L100852</t>
        </is>
      </c>
      <c r="B857" s="16" t="n">
        <v>333704.28</v>
      </c>
      <c r="C857" s="16" t="n">
        <v>322058.5</v>
      </c>
      <c r="D857" s="26" t="n">
        <v>5.329</v>
      </c>
      <c r="E857" s="6" t="n">
        <v>790</v>
      </c>
      <c r="F857" s="11" t="n">
        <v>97</v>
      </c>
      <c r="G857" s="11" t="n">
        <v>35.9</v>
      </c>
      <c r="H857" s="6" t="n">
        <v>29</v>
      </c>
      <c r="I857" s="6" t="n">
        <v>331</v>
      </c>
      <c r="J857" s="5" t="inlineStr">
        <is>
          <t>WA</t>
        </is>
      </c>
      <c r="K857" s="5" t="inlineStr">
        <is>
          <t>SFR</t>
        </is>
      </c>
      <c r="L857" s="5" t="inlineStr">
        <is>
          <t>Meridian Home Loans</t>
        </is>
      </c>
      <c r="M857" s="5" t="inlineStr">
        <is>
          <t>Pier Asset Mgmt</t>
        </is>
      </c>
    </row>
    <row r="858">
      <c r="A858" s="7" t="inlineStr">
        <is>
          <t>L100853</t>
        </is>
      </c>
      <c r="B858" s="8" t="n">
        <v>245457.71</v>
      </c>
      <c r="C858" s="8" t="n">
        <v>243697.29</v>
      </c>
      <c r="D858" s="27" t="n">
        <v>5.927</v>
      </c>
      <c r="E858" s="10" t="n">
        <v>728</v>
      </c>
      <c r="F858" s="12" t="n">
        <v>52.9</v>
      </c>
      <c r="G858" s="12" t="n">
        <v>25.7</v>
      </c>
      <c r="H858" s="10" t="n">
        <v>7</v>
      </c>
      <c r="I858" s="10" t="n">
        <v>353</v>
      </c>
      <c r="J858" s="7" t="inlineStr">
        <is>
          <t>NC</t>
        </is>
      </c>
      <c r="K858" s="7" t="inlineStr">
        <is>
          <t>Condo</t>
        </is>
      </c>
      <c r="L858" s="7" t="inlineStr">
        <is>
          <t>Meridian Home Loans</t>
        </is>
      </c>
      <c r="M858" s="7" t="inlineStr">
        <is>
          <t>Northgate Servicing</t>
        </is>
      </c>
    </row>
    <row r="859">
      <c r="A859" s="5" t="inlineStr">
        <is>
          <t>L100854</t>
        </is>
      </c>
      <c r="B859" s="16" t="n">
        <v>267667.7</v>
      </c>
      <c r="C859" s="16" t="n">
        <v>253950.89</v>
      </c>
      <c r="D859" s="26" t="n">
        <v>8.140000000000001</v>
      </c>
      <c r="E859" s="6" t="n">
        <v>670</v>
      </c>
      <c r="F859" s="11" t="n">
        <v>71.2</v>
      </c>
      <c r="G859" s="11" t="n">
        <v>32.6</v>
      </c>
      <c r="H859" s="6" t="n">
        <v>17</v>
      </c>
      <c r="I859" s="6" t="n">
        <v>163</v>
      </c>
      <c r="J859" s="5" t="inlineStr">
        <is>
          <t>CA</t>
        </is>
      </c>
      <c r="K859" s="5" t="inlineStr">
        <is>
          <t>SFR</t>
        </is>
      </c>
      <c r="L859" s="5" t="inlineStr">
        <is>
          <t>Apex Funding</t>
        </is>
      </c>
      <c r="M859" s="5" t="inlineStr">
        <is>
          <t>Northgate Servicing</t>
        </is>
      </c>
    </row>
    <row r="860">
      <c r="A860" s="7" t="inlineStr">
        <is>
          <t>L100855</t>
        </is>
      </c>
      <c r="B860" s="8" t="n">
        <v>243993</v>
      </c>
      <c r="C860" s="8" t="n">
        <v>233864.53</v>
      </c>
      <c r="D860" s="27" t="n">
        <v>5.125</v>
      </c>
      <c r="E860" s="10" t="n">
        <v>802</v>
      </c>
      <c r="F860" s="12" t="n">
        <v>88.5</v>
      </c>
      <c r="G860" s="12" t="n">
        <v>36.1</v>
      </c>
      <c r="H860" s="10" t="n">
        <v>33</v>
      </c>
      <c r="I860" s="10" t="n">
        <v>327</v>
      </c>
      <c r="J860" s="7" t="inlineStr">
        <is>
          <t>GA</t>
        </is>
      </c>
      <c r="K860" s="7" t="inlineStr">
        <is>
          <t>SFR</t>
        </is>
      </c>
      <c r="L860" s="7" t="inlineStr">
        <is>
          <t>Highline Capital</t>
        </is>
      </c>
      <c r="M860" s="7" t="inlineStr">
        <is>
          <t>Summit Loan Servicing</t>
        </is>
      </c>
    </row>
    <row r="861">
      <c r="A861" s="5" t="inlineStr">
        <is>
          <t>L100856</t>
        </is>
      </c>
      <c r="B861" s="16" t="n">
        <v>273157.57</v>
      </c>
      <c r="C861" s="16" t="n">
        <v>264725.47</v>
      </c>
      <c r="D861" s="26" t="n">
        <v>5.367</v>
      </c>
      <c r="E861" s="6" t="n">
        <v>712</v>
      </c>
      <c r="F861" s="11" t="n">
        <v>56.4</v>
      </c>
      <c r="G861" s="11" t="n">
        <v>27.9</v>
      </c>
      <c r="H861" s="6" t="n">
        <v>26</v>
      </c>
      <c r="I861" s="6" t="n">
        <v>334</v>
      </c>
      <c r="J861" s="5" t="inlineStr">
        <is>
          <t>WA</t>
        </is>
      </c>
      <c r="K861" s="5" t="inlineStr">
        <is>
          <t>SFR</t>
        </is>
      </c>
      <c r="L861" s="5" t="inlineStr">
        <is>
          <t>Coastal Mortgage Co</t>
        </is>
      </c>
      <c r="M861" s="5" t="inlineStr">
        <is>
          <t>Northgate Servicing</t>
        </is>
      </c>
    </row>
    <row r="862">
      <c r="A862" s="7" t="inlineStr">
        <is>
          <t>L100857</t>
        </is>
      </c>
      <c r="B862" s="8" t="n">
        <v>281739.47</v>
      </c>
      <c r="C862" s="8" t="n">
        <v>269830.76</v>
      </c>
      <c r="D862" s="27" t="n">
        <v>7.248</v>
      </c>
      <c r="E862" s="10" t="n">
        <v>722</v>
      </c>
      <c r="F862" s="12" t="n">
        <v>66.3</v>
      </c>
      <c r="G862" s="12" t="n">
        <v>49.2</v>
      </c>
      <c r="H862" s="10" t="n">
        <v>47</v>
      </c>
      <c r="I862" s="10" t="n">
        <v>313</v>
      </c>
      <c r="J862" s="7" t="inlineStr">
        <is>
          <t>WA</t>
        </is>
      </c>
      <c r="K862" s="7" t="inlineStr">
        <is>
          <t>SFR</t>
        </is>
      </c>
      <c r="L862" s="7" t="inlineStr">
        <is>
          <t>Meridian Home Loans</t>
        </is>
      </c>
      <c r="M862" s="7" t="inlineStr">
        <is>
          <t>Summit Loan Servicing</t>
        </is>
      </c>
    </row>
    <row r="863">
      <c r="A863" s="5" t="inlineStr">
        <is>
          <t>L100858</t>
        </is>
      </c>
      <c r="B863" s="16" t="n">
        <v>123261.28</v>
      </c>
      <c r="C863" s="16" t="n">
        <v>121880.34</v>
      </c>
      <c r="D863" s="26" t="n">
        <v>6.012</v>
      </c>
      <c r="E863" s="6" t="n">
        <v>696</v>
      </c>
      <c r="F863" s="11" t="n">
        <v>67.7</v>
      </c>
      <c r="G863" s="11" t="n">
        <v>53.9</v>
      </c>
      <c r="H863" s="6" t="n">
        <v>11</v>
      </c>
      <c r="I863" s="6" t="n">
        <v>349</v>
      </c>
      <c r="J863" s="5" t="inlineStr">
        <is>
          <t>TX</t>
        </is>
      </c>
      <c r="K863" s="5" t="inlineStr">
        <is>
          <t>SFR</t>
        </is>
      </c>
      <c r="L863" s="5" t="inlineStr">
        <is>
          <t>Apex Funding</t>
        </is>
      </c>
      <c r="M863" s="5" t="inlineStr">
        <is>
          <t>Pier Asset Mgmt</t>
        </is>
      </c>
    </row>
    <row r="864">
      <c r="A864" s="7" t="inlineStr">
        <is>
          <t>L100859</t>
        </is>
      </c>
      <c r="B864" s="8" t="n">
        <v>306600.36</v>
      </c>
      <c r="C864" s="8" t="n">
        <v>292715.37</v>
      </c>
      <c r="D864" s="27" t="n">
        <v>5.336</v>
      </c>
      <c r="E864" s="10" t="n">
        <v>666</v>
      </c>
      <c r="F864" s="12" t="n">
        <v>71.3</v>
      </c>
      <c r="G864" s="12" t="n">
        <v>39.8</v>
      </c>
      <c r="H864" s="10" t="n">
        <v>37</v>
      </c>
      <c r="I864" s="10" t="n">
        <v>323</v>
      </c>
      <c r="J864" s="7" t="inlineStr">
        <is>
          <t>IL</t>
        </is>
      </c>
      <c r="K864" s="7" t="inlineStr">
        <is>
          <t>Condo</t>
        </is>
      </c>
      <c r="L864" s="7" t="inlineStr">
        <is>
          <t>Apex Funding</t>
        </is>
      </c>
      <c r="M864" s="7" t="inlineStr">
        <is>
          <t>Pier Asset Mgmt</t>
        </is>
      </c>
    </row>
    <row r="865">
      <c r="A865" s="5" t="inlineStr">
        <is>
          <t>L100860</t>
        </is>
      </c>
      <c r="B865" s="16" t="n">
        <v>172179.57</v>
      </c>
      <c r="C865" s="16" t="n">
        <v>169606.55</v>
      </c>
      <c r="D865" s="26" t="n">
        <v>7.775</v>
      </c>
      <c r="E865" s="6" t="n">
        <v>634</v>
      </c>
      <c r="F865" s="11" t="n">
        <v>54.8</v>
      </c>
      <c r="G865" s="11" t="n">
        <v>35.9</v>
      </c>
      <c r="H865" s="6" t="n">
        <v>20</v>
      </c>
      <c r="I865" s="6" t="n">
        <v>340</v>
      </c>
      <c r="J865" s="5" t="inlineStr">
        <is>
          <t>WA</t>
        </is>
      </c>
      <c r="K865" s="5" t="inlineStr">
        <is>
          <t>SFR</t>
        </is>
      </c>
      <c r="L865" s="5" t="inlineStr">
        <is>
          <t>Meridian Home Loans</t>
        </is>
      </c>
      <c r="M865" s="5" t="inlineStr">
        <is>
          <t>Summit Loan Servicing</t>
        </is>
      </c>
    </row>
    <row r="866">
      <c r="A866" s="7" t="inlineStr">
        <is>
          <t>L100861</t>
        </is>
      </c>
      <c r="B866" s="8" t="n">
        <v>146560.75</v>
      </c>
      <c r="C866" s="8" t="n">
        <v>145150.69</v>
      </c>
      <c r="D866" s="27" t="n">
        <v>6.815</v>
      </c>
      <c r="E866" s="10" t="n">
        <v>750</v>
      </c>
      <c r="F866" s="12" t="n">
        <v>81.09999999999999</v>
      </c>
      <c r="G866" s="12" t="n">
        <v>25.6</v>
      </c>
      <c r="H866" s="10" t="n">
        <v>11</v>
      </c>
      <c r="I866" s="10" t="n">
        <v>349</v>
      </c>
      <c r="J866" s="7" t="inlineStr">
        <is>
          <t>AZ</t>
        </is>
      </c>
      <c r="K866" s="7" t="inlineStr">
        <is>
          <t>Multifamily</t>
        </is>
      </c>
      <c r="L866" s="7" t="inlineStr">
        <is>
          <t>Apex Funding</t>
        </is>
      </c>
      <c r="M866" s="7" t="inlineStr">
        <is>
          <t>Summit Loan Servicing</t>
        </is>
      </c>
    </row>
    <row r="867">
      <c r="A867" s="5" t="inlineStr">
        <is>
          <t>L100862</t>
        </is>
      </c>
      <c r="B867" s="16" t="n">
        <v>237888.19</v>
      </c>
      <c r="C867" s="16" t="n">
        <v>226085.05</v>
      </c>
      <c r="D867" s="26" t="n">
        <v>6.056</v>
      </c>
      <c r="E867" s="6" t="n">
        <v>672</v>
      </c>
      <c r="F867" s="11" t="n">
        <v>82</v>
      </c>
      <c r="G867" s="11" t="n">
        <v>48.4</v>
      </c>
      <c r="H867" s="6" t="n">
        <v>45</v>
      </c>
      <c r="I867" s="6" t="n">
        <v>315</v>
      </c>
      <c r="J867" s="5" t="inlineStr">
        <is>
          <t>GA</t>
        </is>
      </c>
      <c r="K867" s="5" t="inlineStr">
        <is>
          <t>Condo</t>
        </is>
      </c>
      <c r="L867" s="5" t="inlineStr">
        <is>
          <t>Meridian Home Loans</t>
        </is>
      </c>
      <c r="M867" s="5" t="inlineStr">
        <is>
          <t>Pier Asset Mgmt</t>
        </is>
      </c>
    </row>
    <row r="868">
      <c r="A868" s="7" t="inlineStr">
        <is>
          <t>L100863</t>
        </is>
      </c>
      <c r="B868" s="8" t="n">
        <v>250044.29</v>
      </c>
      <c r="C868" s="8" t="n">
        <v>220993.35</v>
      </c>
      <c r="D868" s="27" t="n">
        <v>5.369</v>
      </c>
      <c r="E868" s="10" t="n">
        <v>820</v>
      </c>
      <c r="F868" s="12" t="n">
        <v>80.09999999999999</v>
      </c>
      <c r="G868" s="12" t="n">
        <v>36.6</v>
      </c>
      <c r="H868" s="10" t="n">
        <v>30</v>
      </c>
      <c r="I868" s="10" t="n">
        <v>150</v>
      </c>
      <c r="J868" s="7" t="inlineStr">
        <is>
          <t>NY</t>
        </is>
      </c>
      <c r="K868" s="7" t="inlineStr">
        <is>
          <t>SFR</t>
        </is>
      </c>
      <c r="L868" s="7" t="inlineStr">
        <is>
          <t>Meridian Home Loans</t>
        </is>
      </c>
      <c r="M868" s="7" t="inlineStr">
        <is>
          <t>Summit Loan Servicing</t>
        </is>
      </c>
    </row>
    <row r="869">
      <c r="A869" s="5" t="inlineStr">
        <is>
          <t>L100864</t>
        </is>
      </c>
      <c r="B869" s="16" t="n">
        <v>190474.35</v>
      </c>
      <c r="C869" s="16" t="n">
        <v>187024.83</v>
      </c>
      <c r="D869" s="26" t="n">
        <v>8.243</v>
      </c>
      <c r="E869" s="6" t="n">
        <v>655</v>
      </c>
      <c r="F869" s="11" t="n">
        <v>63.6</v>
      </c>
      <c r="G869" s="11" t="n">
        <v>33.7</v>
      </c>
      <c r="H869" s="6" t="n">
        <v>26</v>
      </c>
      <c r="I869" s="6" t="n">
        <v>334</v>
      </c>
      <c r="J869" s="5" t="inlineStr">
        <is>
          <t>AZ</t>
        </is>
      </c>
      <c r="K869" s="5" t="inlineStr">
        <is>
          <t>2-4 Unit</t>
        </is>
      </c>
      <c r="L869" s="5" t="inlineStr">
        <is>
          <t>Coastal Mortgage Co</t>
        </is>
      </c>
      <c r="M869" s="5" t="inlineStr">
        <is>
          <t>Summit Loan Servicing</t>
        </is>
      </c>
    </row>
    <row r="870">
      <c r="A870" s="7" t="inlineStr">
        <is>
          <t>L100865</t>
        </is>
      </c>
      <c r="B870" s="8" t="n">
        <v>324766.31</v>
      </c>
      <c r="C870" s="8" t="n">
        <v>320409.04</v>
      </c>
      <c r="D870" s="27" t="n">
        <v>6.378</v>
      </c>
      <c r="E870" s="10" t="n">
        <v>646</v>
      </c>
      <c r="F870" s="12" t="n">
        <v>75</v>
      </c>
      <c r="G870" s="12" t="n">
        <v>39.8</v>
      </c>
      <c r="H870" s="10" t="n">
        <v>14</v>
      </c>
      <c r="I870" s="10" t="n">
        <v>346</v>
      </c>
      <c r="J870" s="7" t="inlineStr">
        <is>
          <t>GA</t>
        </is>
      </c>
      <c r="K870" s="7" t="inlineStr">
        <is>
          <t>SFR</t>
        </is>
      </c>
      <c r="L870" s="7" t="inlineStr">
        <is>
          <t>Apex Funding</t>
        </is>
      </c>
      <c r="M870" s="7" t="inlineStr">
        <is>
          <t>Northgate Servicing</t>
        </is>
      </c>
    </row>
    <row r="871">
      <c r="A871" s="5" t="inlineStr">
        <is>
          <t>L100866</t>
        </is>
      </c>
      <c r="B871" s="16" t="n">
        <v>151787.79</v>
      </c>
      <c r="C871" s="16" t="n">
        <v>130090.51</v>
      </c>
      <c r="D871" s="26" t="n">
        <v>7.658</v>
      </c>
      <c r="E871" s="6" t="n">
        <v>743</v>
      </c>
      <c r="F871" s="11" t="n">
        <v>63.2</v>
      </c>
      <c r="G871" s="11" t="n">
        <v>31.3</v>
      </c>
      <c r="H871" s="6" t="n">
        <v>42</v>
      </c>
      <c r="I871" s="6" t="n">
        <v>138</v>
      </c>
      <c r="J871" s="5" t="inlineStr">
        <is>
          <t>GA</t>
        </is>
      </c>
      <c r="K871" s="5" t="inlineStr">
        <is>
          <t>SFR</t>
        </is>
      </c>
      <c r="L871" s="5" t="inlineStr">
        <is>
          <t>Apex Funding</t>
        </is>
      </c>
      <c r="M871" s="5" t="inlineStr">
        <is>
          <t>Pier Asset Mgmt</t>
        </is>
      </c>
    </row>
    <row r="872">
      <c r="A872" s="7" t="inlineStr">
        <is>
          <t>L100867</t>
        </is>
      </c>
      <c r="B872" s="8" t="n">
        <v>210569.21</v>
      </c>
      <c r="C872" s="8" t="n">
        <v>210236.68</v>
      </c>
      <c r="D872" s="27" t="n">
        <v>7.204</v>
      </c>
      <c r="E872" s="10" t="n">
        <v>799</v>
      </c>
      <c r="F872" s="12" t="n">
        <v>70</v>
      </c>
      <c r="G872" s="12" t="n">
        <v>37.2</v>
      </c>
      <c r="H872" s="10" t="n">
        <v>2</v>
      </c>
      <c r="I872" s="10" t="n">
        <v>358</v>
      </c>
      <c r="J872" s="7" t="inlineStr">
        <is>
          <t>WA</t>
        </is>
      </c>
      <c r="K872" s="7" t="inlineStr">
        <is>
          <t>SFR</t>
        </is>
      </c>
      <c r="L872" s="7" t="inlineStr">
        <is>
          <t>Apex Funding</t>
        </is>
      </c>
      <c r="M872" s="7" t="inlineStr">
        <is>
          <t>Northgate Servicing</t>
        </is>
      </c>
    </row>
    <row r="873">
      <c r="A873" s="5" t="inlineStr">
        <is>
          <t>L100868</t>
        </is>
      </c>
      <c r="B873" s="16" t="n">
        <v>197855.86</v>
      </c>
      <c r="C873" s="16" t="n">
        <v>196643.48</v>
      </c>
      <c r="D873" s="26" t="n">
        <v>5.931</v>
      </c>
      <c r="E873" s="6" t="n">
        <v>719</v>
      </c>
      <c r="F873" s="11" t="n">
        <v>97</v>
      </c>
      <c r="G873" s="11" t="n">
        <v>24.5</v>
      </c>
      <c r="H873" s="6" t="n">
        <v>6</v>
      </c>
      <c r="I873" s="6" t="n">
        <v>354</v>
      </c>
      <c r="J873" s="5" t="inlineStr">
        <is>
          <t>NY</t>
        </is>
      </c>
      <c r="K873" s="5" t="inlineStr">
        <is>
          <t>Condo</t>
        </is>
      </c>
      <c r="L873" s="5" t="inlineStr">
        <is>
          <t>Meridian Home Loans</t>
        </is>
      </c>
      <c r="M873" s="5" t="inlineStr">
        <is>
          <t>Summit Loan Servicing</t>
        </is>
      </c>
    </row>
    <row r="874">
      <c r="A874" s="7" t="inlineStr">
        <is>
          <t>L100869</t>
        </is>
      </c>
      <c r="B874" s="8" t="n">
        <v>238874.71</v>
      </c>
      <c r="C874" s="8" t="n">
        <v>236665.63</v>
      </c>
      <c r="D874" s="27" t="n">
        <v>5.938</v>
      </c>
      <c r="E874" s="10" t="n">
        <v>746</v>
      </c>
      <c r="F874" s="12" t="n">
        <v>75.09999999999999</v>
      </c>
      <c r="G874" s="12" t="n">
        <v>44.7</v>
      </c>
      <c r="H874" s="10" t="n">
        <v>9</v>
      </c>
      <c r="I874" s="10" t="n">
        <v>351</v>
      </c>
      <c r="J874" s="7" t="inlineStr">
        <is>
          <t>NC</t>
        </is>
      </c>
      <c r="K874" s="7" t="inlineStr">
        <is>
          <t>SFR</t>
        </is>
      </c>
      <c r="L874" s="7" t="inlineStr">
        <is>
          <t>Coastal Mortgage Co</t>
        </is>
      </c>
      <c r="M874" s="7" t="inlineStr">
        <is>
          <t>Northgate Servicing</t>
        </is>
      </c>
    </row>
    <row r="875">
      <c r="A875" s="5" t="inlineStr">
        <is>
          <t>L100870</t>
        </is>
      </c>
      <c r="B875" s="16" t="n">
        <v>267694.72</v>
      </c>
      <c r="C875" s="16" t="n">
        <v>261174.45</v>
      </c>
      <c r="D875" s="26" t="n">
        <v>7.702</v>
      </c>
      <c r="E875" s="6" t="n">
        <v>614</v>
      </c>
      <c r="F875" s="11" t="n">
        <v>59.7</v>
      </c>
      <c r="G875" s="11" t="n">
        <v>35.2</v>
      </c>
      <c r="H875" s="6" t="n">
        <v>31</v>
      </c>
      <c r="I875" s="6" t="n">
        <v>329</v>
      </c>
      <c r="J875" s="5" t="inlineStr">
        <is>
          <t>CA</t>
        </is>
      </c>
      <c r="K875" s="5" t="inlineStr">
        <is>
          <t>SFR</t>
        </is>
      </c>
      <c r="L875" s="5" t="inlineStr">
        <is>
          <t>Apex Funding</t>
        </is>
      </c>
      <c r="M875" s="5" t="inlineStr">
        <is>
          <t>Northgate Servicing</t>
        </is>
      </c>
    </row>
    <row r="876">
      <c r="A876" s="7" t="inlineStr">
        <is>
          <t>L100871</t>
        </is>
      </c>
      <c r="B876" s="8" t="n">
        <v>170627.39</v>
      </c>
      <c r="C876" s="8" t="n">
        <v>170013.27</v>
      </c>
      <c r="D876" s="27" t="n">
        <v>7.716</v>
      </c>
      <c r="E876" s="10" t="n">
        <v>678</v>
      </c>
      <c r="F876" s="12" t="n">
        <v>76.2</v>
      </c>
      <c r="G876" s="12" t="n">
        <v>45.3</v>
      </c>
      <c r="H876" s="10" t="n">
        <v>5</v>
      </c>
      <c r="I876" s="10" t="n">
        <v>355</v>
      </c>
      <c r="J876" s="7" t="inlineStr">
        <is>
          <t>AZ</t>
        </is>
      </c>
      <c r="K876" s="7" t="inlineStr">
        <is>
          <t>Condo</t>
        </is>
      </c>
      <c r="L876" s="7" t="inlineStr">
        <is>
          <t>Apex Funding</t>
        </is>
      </c>
      <c r="M876" s="7" t="inlineStr">
        <is>
          <t>Northgate Servicing</t>
        </is>
      </c>
    </row>
    <row r="877">
      <c r="A877" s="5" t="inlineStr">
        <is>
          <t>L100872</t>
        </is>
      </c>
      <c r="B877" s="16" t="n">
        <v>312856.2</v>
      </c>
      <c r="C877" s="16" t="n">
        <v>296644.06</v>
      </c>
      <c r="D877" s="26" t="n">
        <v>4.711</v>
      </c>
      <c r="E877" s="6" t="n">
        <v>656</v>
      </c>
      <c r="F877" s="11" t="n">
        <v>57.8</v>
      </c>
      <c r="G877" s="11" t="n">
        <v>34.4</v>
      </c>
      <c r="H877" s="6" t="n">
        <v>38</v>
      </c>
      <c r="I877" s="6" t="n">
        <v>322</v>
      </c>
      <c r="J877" s="5" t="inlineStr">
        <is>
          <t>GA</t>
        </is>
      </c>
      <c r="K877" s="5" t="inlineStr">
        <is>
          <t>SFR</t>
        </is>
      </c>
      <c r="L877" s="5" t="inlineStr">
        <is>
          <t>Meridian Home Loans</t>
        </is>
      </c>
      <c r="M877" s="5" t="inlineStr">
        <is>
          <t>Northgate Servicing</t>
        </is>
      </c>
    </row>
    <row r="878">
      <c r="A878" s="7" t="inlineStr">
        <is>
          <t>L100873</t>
        </is>
      </c>
      <c r="B878" s="8" t="n">
        <v>248215.06</v>
      </c>
      <c r="C878" s="8" t="n">
        <v>240104.77</v>
      </c>
      <c r="D878" s="27" t="n">
        <v>6.895</v>
      </c>
      <c r="E878" s="10" t="n">
        <v>611</v>
      </c>
      <c r="F878" s="12" t="n">
        <v>59.6</v>
      </c>
      <c r="G878" s="12" t="n">
        <v>34.9</v>
      </c>
      <c r="H878" s="10" t="n">
        <v>10</v>
      </c>
      <c r="I878" s="10" t="n">
        <v>170</v>
      </c>
      <c r="J878" s="7" t="inlineStr">
        <is>
          <t>OH</t>
        </is>
      </c>
      <c r="K878" s="7" t="inlineStr">
        <is>
          <t>SFR</t>
        </is>
      </c>
      <c r="L878" s="7" t="inlineStr">
        <is>
          <t>Highline Capital</t>
        </is>
      </c>
      <c r="M878" s="7" t="inlineStr">
        <is>
          <t>Northgate Servicing</t>
        </is>
      </c>
    </row>
    <row r="879">
      <c r="A879" s="5" t="inlineStr">
        <is>
          <t>L100874</t>
        </is>
      </c>
      <c r="B879" s="16" t="n">
        <v>125218.92</v>
      </c>
      <c r="C879" s="16" t="n">
        <v>121123.66</v>
      </c>
      <c r="D879" s="26" t="n">
        <v>6.291</v>
      </c>
      <c r="E879" s="6" t="n">
        <v>721</v>
      </c>
      <c r="F879" s="11" t="n">
        <v>61.5</v>
      </c>
      <c r="G879" s="11" t="n">
        <v>26.3</v>
      </c>
      <c r="H879" s="6" t="n">
        <v>32</v>
      </c>
      <c r="I879" s="6" t="n">
        <v>328</v>
      </c>
      <c r="J879" s="5" t="inlineStr">
        <is>
          <t>NY</t>
        </is>
      </c>
      <c r="K879" s="5" t="inlineStr">
        <is>
          <t>SFR</t>
        </is>
      </c>
      <c r="L879" s="5" t="inlineStr">
        <is>
          <t>Meridian Home Loans</t>
        </is>
      </c>
      <c r="M879" s="5" t="inlineStr">
        <is>
          <t>Northgate Servicing</t>
        </is>
      </c>
    </row>
    <row r="880">
      <c r="A880" s="7" t="inlineStr">
        <is>
          <t>L100875</t>
        </is>
      </c>
      <c r="B880" s="8" t="n">
        <v>122331.88</v>
      </c>
      <c r="C880" s="8" t="n">
        <v>104122.52</v>
      </c>
      <c r="D880" s="27" t="n">
        <v>5.47</v>
      </c>
      <c r="E880" s="10" t="n">
        <v>592</v>
      </c>
      <c r="F880" s="12" t="n">
        <v>68.7</v>
      </c>
      <c r="G880" s="12" t="n">
        <v>42.1</v>
      </c>
      <c r="H880" s="10" t="n">
        <v>38</v>
      </c>
      <c r="I880" s="10" t="n">
        <v>142</v>
      </c>
      <c r="J880" s="7" t="inlineStr">
        <is>
          <t>WA</t>
        </is>
      </c>
      <c r="K880" s="7" t="inlineStr">
        <is>
          <t>2-4 Unit</t>
        </is>
      </c>
      <c r="L880" s="7" t="inlineStr">
        <is>
          <t>Highline Capital</t>
        </is>
      </c>
      <c r="M880" s="7" t="inlineStr">
        <is>
          <t>Northgate Servicing</t>
        </is>
      </c>
    </row>
    <row r="881">
      <c r="A881" s="5" t="inlineStr">
        <is>
          <t>L100876</t>
        </is>
      </c>
      <c r="B881" s="16" t="n">
        <v>241756.97</v>
      </c>
      <c r="C881" s="16" t="n">
        <v>231725.41</v>
      </c>
      <c r="D881" s="26" t="n">
        <v>6.636</v>
      </c>
      <c r="E881" s="6" t="n">
        <v>642</v>
      </c>
      <c r="F881" s="11" t="n">
        <v>85.2</v>
      </c>
      <c r="G881" s="11" t="n">
        <v>29</v>
      </c>
      <c r="H881" s="6" t="n">
        <v>42</v>
      </c>
      <c r="I881" s="6" t="n">
        <v>318</v>
      </c>
      <c r="J881" s="5" t="inlineStr">
        <is>
          <t>GA</t>
        </is>
      </c>
      <c r="K881" s="5" t="inlineStr">
        <is>
          <t>SFR</t>
        </is>
      </c>
      <c r="L881" s="5" t="inlineStr">
        <is>
          <t>Apex Funding</t>
        </is>
      </c>
      <c r="M881" s="5" t="inlineStr">
        <is>
          <t>Northgate Servicing</t>
        </is>
      </c>
    </row>
    <row r="882">
      <c r="A882" s="7" t="inlineStr">
        <is>
          <t>L100877</t>
        </is>
      </c>
      <c r="B882" s="8" t="n">
        <v>224731.46</v>
      </c>
      <c r="C882" s="8" t="n">
        <v>220974.24</v>
      </c>
      <c r="D882" s="27" t="n">
        <v>5.185</v>
      </c>
      <c r="E882" s="10" t="n">
        <v>685</v>
      </c>
      <c r="F882" s="12" t="n">
        <v>80.90000000000001</v>
      </c>
      <c r="G882" s="12" t="n">
        <v>32.1</v>
      </c>
      <c r="H882" s="10" t="n">
        <v>14</v>
      </c>
      <c r="I882" s="10" t="n">
        <v>346</v>
      </c>
      <c r="J882" s="7" t="inlineStr">
        <is>
          <t>FL</t>
        </is>
      </c>
      <c r="K882" s="7" t="inlineStr">
        <is>
          <t>SFR</t>
        </is>
      </c>
      <c r="L882" s="7" t="inlineStr">
        <is>
          <t>Meridian Home Loans</t>
        </is>
      </c>
      <c r="M882" s="7" t="inlineStr">
        <is>
          <t>Northgate Servicing</t>
        </is>
      </c>
    </row>
    <row r="883">
      <c r="A883" s="5" t="inlineStr">
        <is>
          <t>L100878</t>
        </is>
      </c>
      <c r="B883" s="16" t="n">
        <v>234170.08</v>
      </c>
      <c r="C883" s="16" t="n">
        <v>233227.02</v>
      </c>
      <c r="D883" s="26" t="n">
        <v>5.98</v>
      </c>
      <c r="E883" s="6" t="n">
        <v>669</v>
      </c>
      <c r="F883" s="11" t="n">
        <v>80.3</v>
      </c>
      <c r="G883" s="11" t="n">
        <v>36</v>
      </c>
      <c r="H883" s="6" t="n">
        <v>4</v>
      </c>
      <c r="I883" s="6" t="n">
        <v>356</v>
      </c>
      <c r="J883" s="5" t="inlineStr">
        <is>
          <t>TX</t>
        </is>
      </c>
      <c r="K883" s="5" t="inlineStr">
        <is>
          <t>Multifamily</t>
        </is>
      </c>
      <c r="L883" s="5" t="inlineStr">
        <is>
          <t>Coastal Mortgage Co</t>
        </is>
      </c>
      <c r="M883" s="5" t="inlineStr">
        <is>
          <t>Pier Asset Mgmt</t>
        </is>
      </c>
    </row>
    <row r="884">
      <c r="A884" s="7" t="inlineStr">
        <is>
          <t>L100879</t>
        </is>
      </c>
      <c r="B884" s="8" t="n">
        <v>240435.26</v>
      </c>
      <c r="C884" s="8" t="n">
        <v>230478.38</v>
      </c>
      <c r="D884" s="27" t="n">
        <v>5.681</v>
      </c>
      <c r="E884" s="10" t="n">
        <v>737</v>
      </c>
      <c r="F884" s="12" t="n">
        <v>60.8</v>
      </c>
      <c r="G884" s="12" t="n">
        <v>37</v>
      </c>
      <c r="H884" s="10" t="n">
        <v>36</v>
      </c>
      <c r="I884" s="10" t="n">
        <v>324</v>
      </c>
      <c r="J884" s="7" t="inlineStr">
        <is>
          <t>TX</t>
        </is>
      </c>
      <c r="K884" s="7" t="inlineStr">
        <is>
          <t>2-4 Unit</t>
        </is>
      </c>
      <c r="L884" s="7" t="inlineStr">
        <is>
          <t>Coastal Mortgage Co</t>
        </is>
      </c>
      <c r="M884" s="7" t="inlineStr">
        <is>
          <t>Summit Loan Servicing</t>
        </is>
      </c>
    </row>
    <row r="885">
      <c r="A885" s="5" t="inlineStr">
        <is>
          <t>L100880</t>
        </is>
      </c>
      <c r="B885" s="16" t="n">
        <v>262746.76</v>
      </c>
      <c r="C885" s="16" t="n">
        <v>256624.35</v>
      </c>
      <c r="D885" s="26" t="n">
        <v>5.95</v>
      </c>
      <c r="E885" s="6" t="n">
        <v>732</v>
      </c>
      <c r="F885" s="11" t="n">
        <v>67.5</v>
      </c>
      <c r="G885" s="11" t="n">
        <v>22.4</v>
      </c>
      <c r="H885" s="6" t="n">
        <v>22</v>
      </c>
      <c r="I885" s="6" t="n">
        <v>338</v>
      </c>
      <c r="J885" s="5" t="inlineStr">
        <is>
          <t>NY</t>
        </is>
      </c>
      <c r="K885" s="5" t="inlineStr">
        <is>
          <t>SFR</t>
        </is>
      </c>
      <c r="L885" s="5" t="inlineStr">
        <is>
          <t>Highline Capital</t>
        </is>
      </c>
      <c r="M885" s="5" t="inlineStr">
        <is>
          <t>Pier Asset Mgmt</t>
        </is>
      </c>
    </row>
    <row r="886">
      <c r="A886" s="7" t="inlineStr">
        <is>
          <t>L100881</t>
        </is>
      </c>
      <c r="B886" s="8" t="n">
        <v>338296.28</v>
      </c>
      <c r="C886" s="8" t="n">
        <v>322307.3</v>
      </c>
      <c r="D886" s="27" t="n">
        <v>6.336</v>
      </c>
      <c r="E886" s="10" t="n">
        <v>764</v>
      </c>
      <c r="F886" s="12" t="n">
        <v>77.3</v>
      </c>
      <c r="G886" s="12" t="n">
        <v>34.2</v>
      </c>
      <c r="H886" s="10" t="n">
        <v>45</v>
      </c>
      <c r="I886" s="10" t="n">
        <v>315</v>
      </c>
      <c r="J886" s="7" t="inlineStr">
        <is>
          <t>GA</t>
        </is>
      </c>
      <c r="K886" s="7" t="inlineStr">
        <is>
          <t>SFR</t>
        </is>
      </c>
      <c r="L886" s="7" t="inlineStr">
        <is>
          <t>Apex Funding</t>
        </is>
      </c>
      <c r="M886" s="7" t="inlineStr">
        <is>
          <t>Pier Asset Mgmt</t>
        </is>
      </c>
    </row>
    <row r="887">
      <c r="A887" s="5" t="inlineStr">
        <is>
          <t>L100882</t>
        </is>
      </c>
      <c r="B887" s="16" t="n">
        <v>164573.62</v>
      </c>
      <c r="C887" s="16" t="n">
        <v>162918.08</v>
      </c>
      <c r="D887" s="26" t="n">
        <v>5.486</v>
      </c>
      <c r="E887" s="6" t="n">
        <v>756</v>
      </c>
      <c r="F887" s="11" t="n">
        <v>66.5</v>
      </c>
      <c r="G887" s="11" t="n">
        <v>42.4</v>
      </c>
      <c r="H887" s="6" t="n">
        <v>9</v>
      </c>
      <c r="I887" s="6" t="n">
        <v>351</v>
      </c>
      <c r="J887" s="5" t="inlineStr">
        <is>
          <t>OH</t>
        </is>
      </c>
      <c r="K887" s="5" t="inlineStr">
        <is>
          <t>SFR</t>
        </is>
      </c>
      <c r="L887" s="5" t="inlineStr">
        <is>
          <t>Coastal Mortgage Co</t>
        </is>
      </c>
      <c r="M887" s="5" t="inlineStr">
        <is>
          <t>Northgate Servicing</t>
        </is>
      </c>
    </row>
    <row r="888">
      <c r="A888" s="7" t="inlineStr">
        <is>
          <t>L100883</t>
        </is>
      </c>
      <c r="B888" s="8" t="n">
        <v>161104.73</v>
      </c>
      <c r="C888" s="8" t="n">
        <v>157804.29</v>
      </c>
      <c r="D888" s="27" t="n">
        <v>7.816</v>
      </c>
      <c r="E888" s="10" t="n">
        <v>778</v>
      </c>
      <c r="F888" s="12" t="n">
        <v>70.7</v>
      </c>
      <c r="G888" s="12" t="n">
        <v>33</v>
      </c>
      <c r="H888" s="10" t="n">
        <v>27</v>
      </c>
      <c r="I888" s="10" t="n">
        <v>333</v>
      </c>
      <c r="J888" s="7" t="inlineStr">
        <is>
          <t>WA</t>
        </is>
      </c>
      <c r="K888" s="7" t="inlineStr">
        <is>
          <t>Multifamily</t>
        </is>
      </c>
      <c r="L888" s="7" t="inlineStr">
        <is>
          <t>Highline Capital</t>
        </is>
      </c>
      <c r="M888" s="7" t="inlineStr">
        <is>
          <t>Summit Loan Servicing</t>
        </is>
      </c>
    </row>
    <row r="889">
      <c r="A889" s="5" t="inlineStr">
        <is>
          <t>L100884</t>
        </is>
      </c>
      <c r="B889" s="16" t="n">
        <v>165601.01</v>
      </c>
      <c r="C889" s="16" t="n">
        <v>162377.85</v>
      </c>
      <c r="D889" s="26" t="n">
        <v>6.844</v>
      </c>
      <c r="E889" s="6" t="n">
        <v>715</v>
      </c>
      <c r="F889" s="11" t="n">
        <v>79.3</v>
      </c>
      <c r="G889" s="11" t="n">
        <v>34.2</v>
      </c>
      <c r="H889" s="6" t="n">
        <v>6</v>
      </c>
      <c r="I889" s="6" t="n">
        <v>174</v>
      </c>
      <c r="J889" s="5" t="inlineStr">
        <is>
          <t>NC</t>
        </is>
      </c>
      <c r="K889" s="5" t="inlineStr">
        <is>
          <t>SFR</t>
        </is>
      </c>
      <c r="L889" s="5" t="inlineStr">
        <is>
          <t>Meridian Home Loans</t>
        </is>
      </c>
      <c r="M889" s="5" t="inlineStr">
        <is>
          <t>Northgate Servicing</t>
        </is>
      </c>
    </row>
    <row r="890">
      <c r="A890" s="7" t="inlineStr">
        <is>
          <t>L100885</t>
        </is>
      </c>
      <c r="B890" s="8" t="n">
        <v>268638.22</v>
      </c>
      <c r="C890" s="8" t="n">
        <v>264186.71</v>
      </c>
      <c r="D890" s="27" t="n">
        <v>8.015000000000001</v>
      </c>
      <c r="E890" s="10" t="n">
        <v>732</v>
      </c>
      <c r="F890" s="12" t="n">
        <v>69.8</v>
      </c>
      <c r="G890" s="12" t="n">
        <v>37.3</v>
      </c>
      <c r="H890" s="10" t="n">
        <v>23</v>
      </c>
      <c r="I890" s="10" t="n">
        <v>337</v>
      </c>
      <c r="J890" s="7" t="inlineStr">
        <is>
          <t>IL</t>
        </is>
      </c>
      <c r="K890" s="7" t="inlineStr">
        <is>
          <t>SFR</t>
        </is>
      </c>
      <c r="L890" s="7" t="inlineStr">
        <is>
          <t>Highline Capital</t>
        </is>
      </c>
      <c r="M890" s="7" t="inlineStr">
        <is>
          <t>Pier Asset Mgmt</t>
        </is>
      </c>
    </row>
    <row r="891">
      <c r="A891" s="5" t="inlineStr">
        <is>
          <t>L100886</t>
        </is>
      </c>
      <c r="B891" s="16" t="n">
        <v>375394.06</v>
      </c>
      <c r="C891" s="16" t="n">
        <v>375038.28</v>
      </c>
      <c r="D891" s="26" t="n">
        <v>6.256</v>
      </c>
      <c r="E891" s="6" t="n">
        <v>743</v>
      </c>
      <c r="F891" s="11" t="n">
        <v>76.7</v>
      </c>
      <c r="G891" s="11" t="n">
        <v>35</v>
      </c>
      <c r="H891" s="6" t="n">
        <v>1</v>
      </c>
      <c r="I891" s="6" t="n">
        <v>359</v>
      </c>
      <c r="J891" s="5" t="inlineStr">
        <is>
          <t>NC</t>
        </is>
      </c>
      <c r="K891" s="5" t="inlineStr">
        <is>
          <t>SFR</t>
        </is>
      </c>
      <c r="L891" s="5" t="inlineStr">
        <is>
          <t>Highline Capital</t>
        </is>
      </c>
      <c r="M891" s="5" t="inlineStr">
        <is>
          <t>Summit Loan Servicing</t>
        </is>
      </c>
    </row>
    <row r="892">
      <c r="A892" s="7" t="inlineStr">
        <is>
          <t>L100887</t>
        </is>
      </c>
      <c r="B892" s="8" t="n">
        <v>208778.93</v>
      </c>
      <c r="C892" s="8" t="n">
        <v>200466.88</v>
      </c>
      <c r="D892" s="27" t="n">
        <v>5.906</v>
      </c>
      <c r="E892" s="10" t="n">
        <v>723</v>
      </c>
      <c r="F892" s="12" t="n">
        <v>93.09999999999999</v>
      </c>
      <c r="G892" s="12" t="n">
        <v>27.8</v>
      </c>
      <c r="H892" s="10" t="n">
        <v>36</v>
      </c>
      <c r="I892" s="10" t="n">
        <v>324</v>
      </c>
      <c r="J892" s="7" t="inlineStr">
        <is>
          <t>NY</t>
        </is>
      </c>
      <c r="K892" s="7" t="inlineStr">
        <is>
          <t>SFR</t>
        </is>
      </c>
      <c r="L892" s="7" t="inlineStr">
        <is>
          <t>Coastal Mortgage Co</t>
        </is>
      </c>
      <c r="M892" s="7" t="inlineStr">
        <is>
          <t>Northgate Servicing</t>
        </is>
      </c>
    </row>
    <row r="893">
      <c r="A893" s="5" t="inlineStr">
        <is>
          <t>L100888</t>
        </is>
      </c>
      <c r="B893" s="16" t="n">
        <v>101154.57</v>
      </c>
      <c r="C893" s="16" t="n">
        <v>98984.00999999999</v>
      </c>
      <c r="D893" s="26" t="n">
        <v>7.983</v>
      </c>
      <c r="E893" s="6" t="n">
        <v>693</v>
      </c>
      <c r="F893" s="11" t="n">
        <v>71.90000000000001</v>
      </c>
      <c r="G893" s="11" t="n">
        <v>35.7</v>
      </c>
      <c r="H893" s="6" t="n">
        <v>29</v>
      </c>
      <c r="I893" s="6" t="n">
        <v>331</v>
      </c>
      <c r="J893" s="5" t="inlineStr">
        <is>
          <t>FL</t>
        </is>
      </c>
      <c r="K893" s="5" t="inlineStr">
        <is>
          <t>SFR</t>
        </is>
      </c>
      <c r="L893" s="5" t="inlineStr">
        <is>
          <t>Meridian Home Loans</t>
        </is>
      </c>
      <c r="M893" s="5" t="inlineStr">
        <is>
          <t>Pier Asset Mgmt</t>
        </is>
      </c>
    </row>
    <row r="894">
      <c r="A894" s="7" t="inlineStr">
        <is>
          <t>L100889</t>
        </is>
      </c>
      <c r="B894" s="8" t="n">
        <v>133733.26</v>
      </c>
      <c r="C894" s="8" t="n">
        <v>133045.47</v>
      </c>
      <c r="D894" s="27" t="n">
        <v>5.88</v>
      </c>
      <c r="E894" s="10" t="n">
        <v>697</v>
      </c>
      <c r="F894" s="12" t="n">
        <v>88.2</v>
      </c>
      <c r="G894" s="12" t="n">
        <v>44</v>
      </c>
      <c r="H894" s="10" t="n">
        <v>5</v>
      </c>
      <c r="I894" s="10" t="n">
        <v>355</v>
      </c>
      <c r="J894" s="7" t="inlineStr">
        <is>
          <t>GA</t>
        </is>
      </c>
      <c r="K894" s="7" t="inlineStr">
        <is>
          <t>Condo</t>
        </is>
      </c>
      <c r="L894" s="7" t="inlineStr">
        <is>
          <t>Highline Capital</t>
        </is>
      </c>
      <c r="M894" s="7" t="inlineStr">
        <is>
          <t>Northgate Servicing</t>
        </is>
      </c>
    </row>
    <row r="895">
      <c r="A895" s="5" t="inlineStr">
        <is>
          <t>L100890</t>
        </is>
      </c>
      <c r="B895" s="16" t="n">
        <v>181395.89</v>
      </c>
      <c r="C895" s="16" t="n">
        <v>176999.95</v>
      </c>
      <c r="D895" s="26" t="n">
        <v>6.24</v>
      </c>
      <c r="E895" s="6" t="n">
        <v>670</v>
      </c>
      <c r="F895" s="11" t="n">
        <v>80.7</v>
      </c>
      <c r="G895" s="11" t="n">
        <v>27.6</v>
      </c>
      <c r="H895" s="6" t="n">
        <v>24</v>
      </c>
      <c r="I895" s="6" t="n">
        <v>336</v>
      </c>
      <c r="J895" s="5" t="inlineStr">
        <is>
          <t>OH</t>
        </is>
      </c>
      <c r="K895" s="5" t="inlineStr">
        <is>
          <t>SFR</t>
        </is>
      </c>
      <c r="L895" s="5" t="inlineStr">
        <is>
          <t>Highline Capital</t>
        </is>
      </c>
      <c r="M895" s="5" t="inlineStr">
        <is>
          <t>Summit Loan Servicing</t>
        </is>
      </c>
    </row>
    <row r="896">
      <c r="A896" s="7" t="inlineStr">
        <is>
          <t>L100891</t>
        </is>
      </c>
      <c r="B896" s="8" t="n">
        <v>199744.61</v>
      </c>
      <c r="C896" s="8" t="n">
        <v>196131.06</v>
      </c>
      <c r="D896" s="27" t="n">
        <v>7.048</v>
      </c>
      <c r="E896" s="10" t="n">
        <v>738</v>
      </c>
      <c r="F896" s="12" t="n">
        <v>56.4</v>
      </c>
      <c r="G896" s="12" t="n">
        <v>33</v>
      </c>
      <c r="H896" s="10" t="n">
        <v>21</v>
      </c>
      <c r="I896" s="10" t="n">
        <v>339</v>
      </c>
      <c r="J896" s="7" t="inlineStr">
        <is>
          <t>CA</t>
        </is>
      </c>
      <c r="K896" s="7" t="inlineStr">
        <is>
          <t>SFR</t>
        </is>
      </c>
      <c r="L896" s="7" t="inlineStr">
        <is>
          <t>Coastal Mortgage Co</t>
        </is>
      </c>
      <c r="M896" s="7" t="inlineStr">
        <is>
          <t>Northgate Servicing</t>
        </is>
      </c>
    </row>
    <row r="897">
      <c r="A897" s="5" t="inlineStr">
        <is>
          <t>L100892</t>
        </is>
      </c>
      <c r="B897" s="16" t="n">
        <v>210462.75</v>
      </c>
      <c r="C897" s="16" t="n">
        <v>202241.66</v>
      </c>
      <c r="D897" s="26" t="n">
        <v>5.286</v>
      </c>
      <c r="E897" s="6" t="n">
        <v>710</v>
      </c>
      <c r="F897" s="11" t="n">
        <v>60.8</v>
      </c>
      <c r="G897" s="11" t="n">
        <v>24.9</v>
      </c>
      <c r="H897" s="6" t="n">
        <v>32</v>
      </c>
      <c r="I897" s="6" t="n">
        <v>328</v>
      </c>
      <c r="J897" s="5" t="inlineStr">
        <is>
          <t>TX</t>
        </is>
      </c>
      <c r="K897" s="5" t="inlineStr">
        <is>
          <t>2-4 Unit</t>
        </is>
      </c>
      <c r="L897" s="5" t="inlineStr">
        <is>
          <t>Meridian Home Loans</t>
        </is>
      </c>
      <c r="M897" s="5" t="inlineStr">
        <is>
          <t>Summit Loan Servicing</t>
        </is>
      </c>
    </row>
    <row r="898">
      <c r="A898" s="7" t="inlineStr">
        <is>
          <t>L100893</t>
        </is>
      </c>
      <c r="B898" s="8" t="n">
        <v>246102.5</v>
      </c>
      <c r="C898" s="8" t="n">
        <v>240960.66</v>
      </c>
      <c r="D898" s="27" t="n">
        <v>7.04</v>
      </c>
      <c r="E898" s="10" t="n">
        <v>679</v>
      </c>
      <c r="F898" s="12" t="n">
        <v>64</v>
      </c>
      <c r="G898" s="12" t="n">
        <v>43.5</v>
      </c>
      <c r="H898" s="10" t="n">
        <v>24</v>
      </c>
      <c r="I898" s="10" t="n">
        <v>336</v>
      </c>
      <c r="J898" s="7" t="inlineStr">
        <is>
          <t>TX</t>
        </is>
      </c>
      <c r="K898" s="7" t="inlineStr">
        <is>
          <t>SFR</t>
        </is>
      </c>
      <c r="L898" s="7" t="inlineStr">
        <is>
          <t>Coastal Mortgage Co</t>
        </is>
      </c>
      <c r="M898" s="7" t="inlineStr">
        <is>
          <t>Pier Asset Mgmt</t>
        </is>
      </c>
    </row>
    <row r="899">
      <c r="A899" s="5" t="inlineStr">
        <is>
          <t>L100894</t>
        </is>
      </c>
      <c r="B899" s="16" t="n">
        <v>217703.38</v>
      </c>
      <c r="C899" s="16" t="n">
        <v>201536.03</v>
      </c>
      <c r="D899" s="26" t="n">
        <v>6.925</v>
      </c>
      <c r="E899" s="6" t="n">
        <v>679</v>
      </c>
      <c r="F899" s="11" t="n">
        <v>63.7</v>
      </c>
      <c r="G899" s="11" t="n">
        <v>35.3</v>
      </c>
      <c r="H899" s="6" t="n">
        <v>22</v>
      </c>
      <c r="I899" s="6" t="n">
        <v>158</v>
      </c>
      <c r="J899" s="5" t="inlineStr">
        <is>
          <t>FL</t>
        </is>
      </c>
      <c r="K899" s="5" t="inlineStr">
        <is>
          <t>SFR</t>
        </is>
      </c>
      <c r="L899" s="5" t="inlineStr">
        <is>
          <t>Meridian Home Loans</t>
        </is>
      </c>
      <c r="M899" s="5" t="inlineStr">
        <is>
          <t>Northgate Servicing</t>
        </is>
      </c>
    </row>
    <row r="900">
      <c r="A900" s="7" t="inlineStr">
        <is>
          <t>L100895</t>
        </is>
      </c>
      <c r="B900" s="8" t="n">
        <v>350553.59</v>
      </c>
      <c r="C900" s="8" t="n">
        <v>338862.8</v>
      </c>
      <c r="D900" s="27" t="n">
        <v>7.542</v>
      </c>
      <c r="E900" s="10" t="n">
        <v>648</v>
      </c>
      <c r="F900" s="12" t="n">
        <v>72.90000000000001</v>
      </c>
      <c r="G900" s="12" t="n">
        <v>29.2</v>
      </c>
      <c r="H900" s="10" t="n">
        <v>40</v>
      </c>
      <c r="I900" s="10" t="n">
        <v>320</v>
      </c>
      <c r="J900" s="7" t="inlineStr">
        <is>
          <t>TX</t>
        </is>
      </c>
      <c r="K900" s="7" t="inlineStr">
        <is>
          <t>SFR</t>
        </is>
      </c>
      <c r="L900" s="7" t="inlineStr">
        <is>
          <t>Apex Funding</t>
        </is>
      </c>
      <c r="M900" s="7" t="inlineStr">
        <is>
          <t>Northgate Servicing</t>
        </is>
      </c>
    </row>
    <row r="901">
      <c r="A901" s="5" t="inlineStr">
        <is>
          <t>L100896</t>
        </is>
      </c>
      <c r="B901" s="16" t="n">
        <v>191643.84</v>
      </c>
      <c r="C901" s="16" t="n">
        <v>187585.08</v>
      </c>
      <c r="D901" s="26" t="n">
        <v>7.201</v>
      </c>
      <c r="E901" s="6" t="n">
        <v>769</v>
      </c>
      <c r="F901" s="11" t="n">
        <v>81.40000000000001</v>
      </c>
      <c r="G901" s="11" t="n">
        <v>36.7</v>
      </c>
      <c r="H901" s="6" t="n">
        <v>25</v>
      </c>
      <c r="I901" s="6" t="n">
        <v>335</v>
      </c>
      <c r="J901" s="5" t="inlineStr">
        <is>
          <t>TX</t>
        </is>
      </c>
      <c r="K901" s="5" t="inlineStr">
        <is>
          <t>Condo</t>
        </is>
      </c>
      <c r="L901" s="5" t="inlineStr">
        <is>
          <t>Apex Funding</t>
        </is>
      </c>
      <c r="M901" s="5" t="inlineStr">
        <is>
          <t>Pier Asset Mgmt</t>
        </is>
      </c>
    </row>
    <row r="902">
      <c r="A902" s="7" t="inlineStr">
        <is>
          <t>L100897</t>
        </is>
      </c>
      <c r="B902" s="8" t="n">
        <v>179546.36</v>
      </c>
      <c r="C902" s="8" t="n">
        <v>173757.2</v>
      </c>
      <c r="D902" s="27" t="n">
        <v>7.57</v>
      </c>
      <c r="E902" s="10" t="n">
        <v>719</v>
      </c>
      <c r="F902" s="12" t="n">
        <v>89.09999999999999</v>
      </c>
      <c r="G902" s="12" t="n">
        <v>26.4</v>
      </c>
      <c r="H902" s="10" t="n">
        <v>39</v>
      </c>
      <c r="I902" s="10" t="n">
        <v>321</v>
      </c>
      <c r="J902" s="7" t="inlineStr">
        <is>
          <t>CA</t>
        </is>
      </c>
      <c r="K902" s="7" t="inlineStr">
        <is>
          <t>SFR</t>
        </is>
      </c>
      <c r="L902" s="7" t="inlineStr">
        <is>
          <t>Coastal Mortgage Co</t>
        </is>
      </c>
      <c r="M902" s="7" t="inlineStr">
        <is>
          <t>Northgate Servicing</t>
        </is>
      </c>
    </row>
    <row r="903">
      <c r="A903" s="5" t="inlineStr">
        <is>
          <t>L100898</t>
        </is>
      </c>
      <c r="B903" s="16" t="n">
        <v>287105.91</v>
      </c>
      <c r="C903" s="16" t="n">
        <v>274466.97</v>
      </c>
      <c r="D903" s="26" t="n">
        <v>6.301</v>
      </c>
      <c r="E903" s="6" t="n">
        <v>668</v>
      </c>
      <c r="F903" s="11" t="n">
        <v>77.7</v>
      </c>
      <c r="G903" s="11" t="n">
        <v>27.7</v>
      </c>
      <c r="H903" s="6" t="n">
        <v>42</v>
      </c>
      <c r="I903" s="6" t="n">
        <v>318</v>
      </c>
      <c r="J903" s="5" t="inlineStr">
        <is>
          <t>NY</t>
        </is>
      </c>
      <c r="K903" s="5" t="inlineStr">
        <is>
          <t>Condo</t>
        </is>
      </c>
      <c r="L903" s="5" t="inlineStr">
        <is>
          <t>Apex Funding</t>
        </is>
      </c>
      <c r="M903" s="5" t="inlineStr">
        <is>
          <t>Summit Loan Servicing</t>
        </is>
      </c>
    </row>
    <row r="904">
      <c r="A904" s="7" t="inlineStr">
        <is>
          <t>L100899</t>
        </is>
      </c>
      <c r="B904" s="8" t="n">
        <v>141849.98</v>
      </c>
      <c r="C904" s="8" t="n">
        <v>135194.11</v>
      </c>
      <c r="D904" s="27" t="n">
        <v>5.624</v>
      </c>
      <c r="E904" s="10" t="n">
        <v>759</v>
      </c>
      <c r="F904" s="12" t="n">
        <v>68.7</v>
      </c>
      <c r="G904" s="12" t="n">
        <v>24.3</v>
      </c>
      <c r="H904" s="10" t="n">
        <v>40</v>
      </c>
      <c r="I904" s="10" t="n">
        <v>320</v>
      </c>
      <c r="J904" s="7" t="inlineStr">
        <is>
          <t>AZ</t>
        </is>
      </c>
      <c r="K904" s="7" t="inlineStr">
        <is>
          <t>SFR</t>
        </is>
      </c>
      <c r="L904" s="7" t="inlineStr">
        <is>
          <t>Apex Funding</t>
        </is>
      </c>
      <c r="M904" s="7" t="inlineStr">
        <is>
          <t>Pier Asset Mgmt</t>
        </is>
      </c>
    </row>
    <row r="905">
      <c r="A905" s="5" t="inlineStr">
        <is>
          <t>L100900</t>
        </is>
      </c>
      <c r="B905" s="16" t="n">
        <v>278282.51</v>
      </c>
      <c r="C905" s="16" t="n">
        <v>269045.58</v>
      </c>
      <c r="D905" s="26" t="n">
        <v>8.298999999999999</v>
      </c>
      <c r="E905" s="6" t="n">
        <v>684</v>
      </c>
      <c r="F905" s="11" t="n">
        <v>49</v>
      </c>
      <c r="G905" s="11" t="n">
        <v>27.5</v>
      </c>
      <c r="H905" s="6" t="n">
        <v>45</v>
      </c>
      <c r="I905" s="6" t="n">
        <v>315</v>
      </c>
      <c r="J905" s="5" t="inlineStr">
        <is>
          <t>TX</t>
        </is>
      </c>
      <c r="K905" s="5" t="inlineStr">
        <is>
          <t>SFR</t>
        </is>
      </c>
      <c r="L905" s="5" t="inlineStr">
        <is>
          <t>Meridian Home Loans</t>
        </is>
      </c>
      <c r="M905" s="5" t="inlineStr">
        <is>
          <t>Northgate Servicing</t>
        </is>
      </c>
    </row>
    <row r="906">
      <c r="A906" s="7" t="inlineStr">
        <is>
          <t>L100901</t>
        </is>
      </c>
      <c r="B906" s="8" t="n">
        <v>251674.94</v>
      </c>
      <c r="C906" s="8" t="n">
        <v>241048.36</v>
      </c>
      <c r="D906" s="27" t="n">
        <v>5.026</v>
      </c>
      <c r="E906" s="10" t="n">
        <v>638</v>
      </c>
      <c r="F906" s="12" t="n">
        <v>74.8</v>
      </c>
      <c r="G906" s="12" t="n">
        <v>46.9</v>
      </c>
      <c r="H906" s="10" t="n">
        <v>33</v>
      </c>
      <c r="I906" s="10" t="n">
        <v>327</v>
      </c>
      <c r="J906" s="7" t="inlineStr">
        <is>
          <t>NY</t>
        </is>
      </c>
      <c r="K906" s="7" t="inlineStr">
        <is>
          <t>SFR</t>
        </is>
      </c>
      <c r="L906" s="7" t="inlineStr">
        <is>
          <t>Coastal Mortgage Co</t>
        </is>
      </c>
      <c r="M906" s="7" t="inlineStr">
        <is>
          <t>Northgate Servicing</t>
        </is>
      </c>
    </row>
    <row r="907">
      <c r="A907" s="5" t="inlineStr">
        <is>
          <t>L100902</t>
        </is>
      </c>
      <c r="B907" s="16" t="n">
        <v>230589.68</v>
      </c>
      <c r="C907" s="16" t="n">
        <v>222847.41</v>
      </c>
      <c r="D907" s="26" t="n">
        <v>5.116</v>
      </c>
      <c r="E907" s="6" t="n">
        <v>771</v>
      </c>
      <c r="F907" s="11" t="n">
        <v>74.3</v>
      </c>
      <c r="G907" s="11" t="n">
        <v>30.1</v>
      </c>
      <c r="H907" s="6" t="n">
        <v>27</v>
      </c>
      <c r="I907" s="6" t="n">
        <v>333</v>
      </c>
      <c r="J907" s="5" t="inlineStr">
        <is>
          <t>WA</t>
        </is>
      </c>
      <c r="K907" s="5" t="inlineStr">
        <is>
          <t>SFR</t>
        </is>
      </c>
      <c r="L907" s="5" t="inlineStr">
        <is>
          <t>Highline Capital</t>
        </is>
      </c>
      <c r="M907" s="5" t="inlineStr">
        <is>
          <t>Summit Loan Servicing</t>
        </is>
      </c>
    </row>
    <row r="908">
      <c r="A908" s="7" t="inlineStr">
        <is>
          <t>L100903</t>
        </is>
      </c>
      <c r="B908" s="8" t="n">
        <v>423325.49</v>
      </c>
      <c r="C908" s="8" t="n">
        <v>413855.62</v>
      </c>
      <c r="D908" s="27" t="n">
        <v>6.909</v>
      </c>
      <c r="E908" s="10" t="n">
        <v>685</v>
      </c>
      <c r="F908" s="12" t="n">
        <v>76.2</v>
      </c>
      <c r="G908" s="12" t="n">
        <v>39.7</v>
      </c>
      <c r="H908" s="10" t="n">
        <v>25</v>
      </c>
      <c r="I908" s="10" t="n">
        <v>335</v>
      </c>
      <c r="J908" s="7" t="inlineStr">
        <is>
          <t>TX</t>
        </is>
      </c>
      <c r="K908" s="7" t="inlineStr">
        <is>
          <t>SFR</t>
        </is>
      </c>
      <c r="L908" s="7" t="inlineStr">
        <is>
          <t>Highline Capital</t>
        </is>
      </c>
      <c r="M908" s="7" t="inlineStr">
        <is>
          <t>Northgate Servicing</t>
        </is>
      </c>
    </row>
    <row r="909">
      <c r="A909" s="5" t="inlineStr">
        <is>
          <t>L100904</t>
        </is>
      </c>
      <c r="B909" s="16" t="n">
        <v>195287.36</v>
      </c>
      <c r="C909" s="16" t="n">
        <v>193899.44</v>
      </c>
      <c r="D909" s="26" t="n">
        <v>7.862</v>
      </c>
      <c r="E909" s="6" t="n">
        <v>693</v>
      </c>
      <c r="F909" s="11" t="n">
        <v>97</v>
      </c>
      <c r="G909" s="11" t="n">
        <v>29.3</v>
      </c>
      <c r="H909" s="6" t="n">
        <v>10</v>
      </c>
      <c r="I909" s="6" t="n">
        <v>350</v>
      </c>
      <c r="J909" s="5" t="inlineStr">
        <is>
          <t>WA</t>
        </is>
      </c>
      <c r="K909" s="5" t="inlineStr">
        <is>
          <t>Condo</t>
        </is>
      </c>
      <c r="L909" s="5" t="inlineStr">
        <is>
          <t>Highline Capital</t>
        </is>
      </c>
      <c r="M909" s="5" t="inlineStr">
        <is>
          <t>Northgate Servicing</t>
        </is>
      </c>
    </row>
    <row r="910">
      <c r="A910" s="7" t="inlineStr">
        <is>
          <t>L100905</t>
        </is>
      </c>
      <c r="B910" s="8" t="n">
        <v>499370.89</v>
      </c>
      <c r="C910" s="8" t="n">
        <v>480071.44</v>
      </c>
      <c r="D910" s="27" t="n">
        <v>6.571</v>
      </c>
      <c r="E910" s="10" t="n">
        <v>717</v>
      </c>
      <c r="F910" s="12" t="n">
        <v>88.90000000000001</v>
      </c>
      <c r="G910" s="12" t="n">
        <v>42.1</v>
      </c>
      <c r="H910" s="10" t="n">
        <v>39</v>
      </c>
      <c r="I910" s="10" t="n">
        <v>321</v>
      </c>
      <c r="J910" s="7" t="inlineStr">
        <is>
          <t>GA</t>
        </is>
      </c>
      <c r="K910" s="7" t="inlineStr">
        <is>
          <t>SFR</t>
        </is>
      </c>
      <c r="L910" s="7" t="inlineStr">
        <is>
          <t>Highline Capital</t>
        </is>
      </c>
      <c r="M910" s="7" t="inlineStr">
        <is>
          <t>Summit Loan Servicing</t>
        </is>
      </c>
    </row>
    <row r="911">
      <c r="A911" s="5" t="inlineStr">
        <is>
          <t>L100906</t>
        </is>
      </c>
      <c r="B911" s="16" t="n">
        <v>224380.6</v>
      </c>
      <c r="C911" s="16" t="n">
        <v>218067.02</v>
      </c>
      <c r="D911" s="26" t="n">
        <v>7.299</v>
      </c>
      <c r="E911" s="6" t="n">
        <v>778</v>
      </c>
      <c r="F911" s="11" t="n">
        <v>83.40000000000001</v>
      </c>
      <c r="G911" s="11" t="n">
        <v>27.8</v>
      </c>
      <c r="H911" s="6" t="n">
        <v>33</v>
      </c>
      <c r="I911" s="6" t="n">
        <v>327</v>
      </c>
      <c r="J911" s="5" t="inlineStr">
        <is>
          <t>AZ</t>
        </is>
      </c>
      <c r="K911" s="5" t="inlineStr">
        <is>
          <t>SFR</t>
        </is>
      </c>
      <c r="L911" s="5" t="inlineStr">
        <is>
          <t>Meridian Home Loans</t>
        </is>
      </c>
      <c r="M911" s="5" t="inlineStr">
        <is>
          <t>Northgate Servicing</t>
        </is>
      </c>
    </row>
    <row r="912">
      <c r="A912" s="7" t="inlineStr">
        <is>
          <t>L100907</t>
        </is>
      </c>
      <c r="B912" s="8" t="n">
        <v>155289.17</v>
      </c>
      <c r="C912" s="8" t="n">
        <v>146163.39</v>
      </c>
      <c r="D912" s="27" t="n">
        <v>4.604</v>
      </c>
      <c r="E912" s="10" t="n">
        <v>716</v>
      </c>
      <c r="F912" s="12" t="n">
        <v>62.5</v>
      </c>
      <c r="G912" s="12" t="n">
        <v>36.3</v>
      </c>
      <c r="H912" s="10" t="n">
        <v>42</v>
      </c>
      <c r="I912" s="10" t="n">
        <v>318</v>
      </c>
      <c r="J912" s="7" t="inlineStr">
        <is>
          <t>NY</t>
        </is>
      </c>
      <c r="K912" s="7" t="inlineStr">
        <is>
          <t>Multifamily</t>
        </is>
      </c>
      <c r="L912" s="7" t="inlineStr">
        <is>
          <t>Coastal Mortgage Co</t>
        </is>
      </c>
      <c r="M912" s="7" t="inlineStr">
        <is>
          <t>Summit Loan Servicing</t>
        </is>
      </c>
    </row>
    <row r="913">
      <c r="A913" s="5" t="inlineStr">
        <is>
          <t>L100908</t>
        </is>
      </c>
      <c r="B913" s="16" t="n">
        <v>248816.72</v>
      </c>
      <c r="C913" s="16" t="n">
        <v>239874.66</v>
      </c>
      <c r="D913" s="26" t="n">
        <v>5.95</v>
      </c>
      <c r="E913" s="6" t="n">
        <v>649</v>
      </c>
      <c r="F913" s="11" t="n">
        <v>67.8</v>
      </c>
      <c r="G913" s="11" t="n">
        <v>36.4</v>
      </c>
      <c r="H913" s="6" t="n">
        <v>33</v>
      </c>
      <c r="I913" s="6" t="n">
        <v>327</v>
      </c>
      <c r="J913" s="5" t="inlineStr">
        <is>
          <t>NY</t>
        </is>
      </c>
      <c r="K913" s="5" t="inlineStr">
        <is>
          <t>SFR</t>
        </is>
      </c>
      <c r="L913" s="5" t="inlineStr">
        <is>
          <t>Coastal Mortgage Co</t>
        </is>
      </c>
      <c r="M913" s="5" t="inlineStr">
        <is>
          <t>Northgate Servicing</t>
        </is>
      </c>
    </row>
    <row r="914">
      <c r="A914" s="7" t="inlineStr">
        <is>
          <t>L100909</t>
        </is>
      </c>
      <c r="B914" s="8" t="n">
        <v>166593.86</v>
      </c>
      <c r="C914" s="8" t="n">
        <v>161524.76</v>
      </c>
      <c r="D914" s="27" t="n">
        <v>4.713</v>
      </c>
      <c r="E914" s="10" t="n">
        <v>745</v>
      </c>
      <c r="F914" s="12" t="n">
        <v>72.90000000000001</v>
      </c>
      <c r="G914" s="12" t="n">
        <v>54.6</v>
      </c>
      <c r="H914" s="10" t="n">
        <v>23</v>
      </c>
      <c r="I914" s="10" t="n">
        <v>337</v>
      </c>
      <c r="J914" s="7" t="inlineStr">
        <is>
          <t>NY</t>
        </is>
      </c>
      <c r="K914" s="7" t="inlineStr">
        <is>
          <t>SFR</t>
        </is>
      </c>
      <c r="L914" s="7" t="inlineStr">
        <is>
          <t>Apex Funding</t>
        </is>
      </c>
      <c r="M914" s="7" t="inlineStr">
        <is>
          <t>Pier Asset Mgmt</t>
        </is>
      </c>
    </row>
    <row r="915">
      <c r="A915" s="5" t="inlineStr">
        <is>
          <t>L100910</t>
        </is>
      </c>
      <c r="B915" s="16" t="n">
        <v>186630.4</v>
      </c>
      <c r="C915" s="16" t="n">
        <v>184448.73</v>
      </c>
      <c r="D915" s="26" t="n">
        <v>7.102</v>
      </c>
      <c r="E915" s="6" t="n">
        <v>688</v>
      </c>
      <c r="F915" s="11" t="n">
        <v>64.7</v>
      </c>
      <c r="G915" s="11" t="n">
        <v>41</v>
      </c>
      <c r="H915" s="6" t="n">
        <v>14</v>
      </c>
      <c r="I915" s="6" t="n">
        <v>346</v>
      </c>
      <c r="J915" s="5" t="inlineStr">
        <is>
          <t>TX</t>
        </is>
      </c>
      <c r="K915" s="5" t="inlineStr">
        <is>
          <t>SFR</t>
        </is>
      </c>
      <c r="L915" s="5" t="inlineStr">
        <is>
          <t>Highline Capital</t>
        </is>
      </c>
      <c r="M915" s="5" t="inlineStr">
        <is>
          <t>Pier Asset Mgmt</t>
        </is>
      </c>
    </row>
    <row r="916">
      <c r="A916" s="7" t="inlineStr">
        <is>
          <t>L100911</t>
        </is>
      </c>
      <c r="B916" s="8" t="n">
        <v>278998.49</v>
      </c>
      <c r="C916" s="8" t="n">
        <v>224954.33</v>
      </c>
      <c r="D916" s="27" t="n">
        <v>5.007</v>
      </c>
      <c r="E916" s="10" t="n">
        <v>819</v>
      </c>
      <c r="F916" s="12" t="n">
        <v>80</v>
      </c>
      <c r="G916" s="12" t="n">
        <v>31.3</v>
      </c>
      <c r="H916" s="10" t="n">
        <v>47</v>
      </c>
      <c r="I916" s="10" t="n">
        <v>133</v>
      </c>
      <c r="J916" s="7" t="inlineStr">
        <is>
          <t>NY</t>
        </is>
      </c>
      <c r="K916" s="7" t="inlineStr">
        <is>
          <t>SFR</t>
        </is>
      </c>
      <c r="L916" s="7" t="inlineStr">
        <is>
          <t>Apex Funding</t>
        </is>
      </c>
      <c r="M916" s="7" t="inlineStr">
        <is>
          <t>Summit Loan Servicing</t>
        </is>
      </c>
    </row>
    <row r="917">
      <c r="A917" s="5" t="inlineStr">
        <is>
          <t>L100912</t>
        </is>
      </c>
      <c r="B917" s="16" t="n">
        <v>294918.32</v>
      </c>
      <c r="C917" s="16" t="n">
        <v>282153.95</v>
      </c>
      <c r="D917" s="26" t="n">
        <v>5.25</v>
      </c>
      <c r="E917" s="6" t="n">
        <v>715</v>
      </c>
      <c r="F917" s="11" t="n">
        <v>78.3</v>
      </c>
      <c r="G917" s="11" t="n">
        <v>41.5</v>
      </c>
      <c r="H917" s="6" t="n">
        <v>35</v>
      </c>
      <c r="I917" s="6" t="n">
        <v>325</v>
      </c>
      <c r="J917" s="5" t="inlineStr">
        <is>
          <t>OH</t>
        </is>
      </c>
      <c r="K917" s="5" t="inlineStr">
        <is>
          <t>Multifamily</t>
        </is>
      </c>
      <c r="L917" s="5" t="inlineStr">
        <is>
          <t>Apex Funding</t>
        </is>
      </c>
      <c r="M917" s="5" t="inlineStr">
        <is>
          <t>Summit Loan Servicing</t>
        </is>
      </c>
    </row>
    <row r="918">
      <c r="A918" s="7" t="inlineStr">
        <is>
          <t>L100913</t>
        </is>
      </c>
      <c r="B918" s="8" t="n">
        <v>195290.08</v>
      </c>
      <c r="C918" s="8" t="n">
        <v>187507.82</v>
      </c>
      <c r="D918" s="27" t="n">
        <v>6.863</v>
      </c>
      <c r="E918" s="10" t="n">
        <v>592</v>
      </c>
      <c r="F918" s="12" t="n">
        <v>60.9</v>
      </c>
      <c r="G918" s="12" t="n">
        <v>53.1</v>
      </c>
      <c r="H918" s="10" t="n">
        <v>42</v>
      </c>
      <c r="I918" s="10" t="n">
        <v>318</v>
      </c>
      <c r="J918" s="7" t="inlineStr">
        <is>
          <t>CA</t>
        </is>
      </c>
      <c r="K918" s="7" t="inlineStr">
        <is>
          <t>Multifamily</t>
        </is>
      </c>
      <c r="L918" s="7" t="inlineStr">
        <is>
          <t>Meridian Home Loans</t>
        </is>
      </c>
      <c r="M918" s="7" t="inlineStr">
        <is>
          <t>Summit Loan Servicing</t>
        </is>
      </c>
    </row>
    <row r="919">
      <c r="A919" s="5" t="inlineStr">
        <is>
          <t>L100914</t>
        </is>
      </c>
      <c r="B919" s="16" t="n">
        <v>343036.39</v>
      </c>
      <c r="C919" s="16" t="n">
        <v>335059.36</v>
      </c>
      <c r="D919" s="26" t="n">
        <v>7.356</v>
      </c>
      <c r="E919" s="6" t="n">
        <v>735</v>
      </c>
      <c r="F919" s="11" t="n">
        <v>88.40000000000001</v>
      </c>
      <c r="G919" s="11" t="n">
        <v>23</v>
      </c>
      <c r="H919" s="6" t="n">
        <v>28</v>
      </c>
      <c r="I919" s="6" t="n">
        <v>332</v>
      </c>
      <c r="J919" s="5" t="inlineStr">
        <is>
          <t>GA</t>
        </is>
      </c>
      <c r="K919" s="5" t="inlineStr">
        <is>
          <t>SFR</t>
        </is>
      </c>
      <c r="L919" s="5" t="inlineStr">
        <is>
          <t>Apex Funding</t>
        </is>
      </c>
      <c r="M919" s="5" t="inlineStr">
        <is>
          <t>Northgate Servicing</t>
        </is>
      </c>
    </row>
    <row r="920">
      <c r="A920" s="7" t="inlineStr">
        <is>
          <t>L100915</t>
        </is>
      </c>
      <c r="B920" s="8" t="n">
        <v>364079.57</v>
      </c>
      <c r="C920" s="8" t="n">
        <v>355283.9</v>
      </c>
      <c r="D920" s="27" t="n">
        <v>6.257</v>
      </c>
      <c r="E920" s="10" t="n">
        <v>820</v>
      </c>
      <c r="F920" s="12" t="n">
        <v>75.2</v>
      </c>
      <c r="G920" s="12" t="n">
        <v>29.3</v>
      </c>
      <c r="H920" s="10" t="n">
        <v>24</v>
      </c>
      <c r="I920" s="10" t="n">
        <v>336</v>
      </c>
      <c r="J920" s="7" t="inlineStr">
        <is>
          <t>NC</t>
        </is>
      </c>
      <c r="K920" s="7" t="inlineStr">
        <is>
          <t>Multifamily</t>
        </is>
      </c>
      <c r="L920" s="7" t="inlineStr">
        <is>
          <t>Highline Capital</t>
        </is>
      </c>
      <c r="M920" s="7" t="inlineStr">
        <is>
          <t>Summit Loan Servicing</t>
        </is>
      </c>
    </row>
    <row r="921">
      <c r="A921" s="5" t="inlineStr">
        <is>
          <t>L100916</t>
        </is>
      </c>
      <c r="B921" s="16" t="n">
        <v>401396.75</v>
      </c>
      <c r="C921" s="16" t="n">
        <v>398837.41</v>
      </c>
      <c r="D921" s="26" t="n">
        <v>6.913</v>
      </c>
      <c r="E921" s="6" t="n">
        <v>802</v>
      </c>
      <c r="F921" s="11" t="n">
        <v>53.3</v>
      </c>
      <c r="G921" s="11" t="n">
        <v>34.1</v>
      </c>
      <c r="H921" s="6" t="n">
        <v>2</v>
      </c>
      <c r="I921" s="6" t="n">
        <v>178</v>
      </c>
      <c r="J921" s="5" t="inlineStr">
        <is>
          <t>TX</t>
        </is>
      </c>
      <c r="K921" s="5" t="inlineStr">
        <is>
          <t>SFR</t>
        </is>
      </c>
      <c r="L921" s="5" t="inlineStr">
        <is>
          <t>Highline Capital</t>
        </is>
      </c>
      <c r="M921" s="5" t="inlineStr">
        <is>
          <t>Summit Loan Servicing</t>
        </is>
      </c>
    </row>
    <row r="922">
      <c r="A922" s="7" t="inlineStr">
        <is>
          <t>L100917</t>
        </is>
      </c>
      <c r="B922" s="8" t="n">
        <v>292229.49</v>
      </c>
      <c r="C922" s="8" t="n">
        <v>291240.72</v>
      </c>
      <c r="D922" s="27" t="n">
        <v>6.884</v>
      </c>
      <c r="E922" s="10" t="n">
        <v>816</v>
      </c>
      <c r="F922" s="12" t="n">
        <v>73.40000000000001</v>
      </c>
      <c r="G922" s="12" t="n">
        <v>32.7</v>
      </c>
      <c r="H922" s="10" t="n">
        <v>4</v>
      </c>
      <c r="I922" s="10" t="n">
        <v>356</v>
      </c>
      <c r="J922" s="7" t="inlineStr">
        <is>
          <t>TX</t>
        </is>
      </c>
      <c r="K922" s="7" t="inlineStr">
        <is>
          <t>Multifamily</t>
        </is>
      </c>
      <c r="L922" s="7" t="inlineStr">
        <is>
          <t>Apex Funding</t>
        </is>
      </c>
      <c r="M922" s="7" t="inlineStr">
        <is>
          <t>Pier Asset Mgmt</t>
        </is>
      </c>
    </row>
    <row r="923">
      <c r="A923" s="5" t="inlineStr">
        <is>
          <t>L100918</t>
        </is>
      </c>
      <c r="B923" s="16" t="n">
        <v>391288.36</v>
      </c>
      <c r="C923" s="16" t="n">
        <v>377408.98</v>
      </c>
      <c r="D923" s="26" t="n">
        <v>6.206</v>
      </c>
      <c r="E923" s="6" t="n">
        <v>659</v>
      </c>
      <c r="F923" s="11" t="n">
        <v>77.40000000000001</v>
      </c>
      <c r="G923" s="11" t="n">
        <v>33.3</v>
      </c>
      <c r="H923" s="6" t="n">
        <v>34</v>
      </c>
      <c r="I923" s="6" t="n">
        <v>326</v>
      </c>
      <c r="J923" s="5" t="inlineStr">
        <is>
          <t>GA</t>
        </is>
      </c>
      <c r="K923" s="5" t="inlineStr">
        <is>
          <t>2-4 Unit</t>
        </is>
      </c>
      <c r="L923" s="5" t="inlineStr">
        <is>
          <t>Meridian Home Loans</t>
        </is>
      </c>
      <c r="M923" s="5" t="inlineStr">
        <is>
          <t>Pier Asset Mgmt</t>
        </is>
      </c>
    </row>
    <row r="924">
      <c r="A924" s="7" t="inlineStr">
        <is>
          <t>L100919</t>
        </is>
      </c>
      <c r="B924" s="8" t="n">
        <v>125708.44</v>
      </c>
      <c r="C924" s="8" t="n">
        <v>124135.36</v>
      </c>
      <c r="D924" s="27" t="n">
        <v>5.415</v>
      </c>
      <c r="E924" s="10" t="n">
        <v>765</v>
      </c>
      <c r="F924" s="12" t="n">
        <v>85.7</v>
      </c>
      <c r="G924" s="12" t="n">
        <v>25.6</v>
      </c>
      <c r="H924" s="10" t="n">
        <v>11</v>
      </c>
      <c r="I924" s="10" t="n">
        <v>349</v>
      </c>
      <c r="J924" s="7" t="inlineStr">
        <is>
          <t>FL</t>
        </is>
      </c>
      <c r="K924" s="7" t="inlineStr">
        <is>
          <t>SFR</t>
        </is>
      </c>
      <c r="L924" s="7" t="inlineStr">
        <is>
          <t>Meridian Home Loans</t>
        </is>
      </c>
      <c r="M924" s="7" t="inlineStr">
        <is>
          <t>Northgate Servicing</t>
        </is>
      </c>
    </row>
    <row r="925">
      <c r="A925" s="5" t="inlineStr">
        <is>
          <t>L100920</t>
        </is>
      </c>
      <c r="B925" s="16" t="n">
        <v>217234.5</v>
      </c>
      <c r="C925" s="16" t="n">
        <v>216502.93</v>
      </c>
      <c r="D925" s="26" t="n">
        <v>6.908</v>
      </c>
      <c r="E925" s="6" t="n">
        <v>675</v>
      </c>
      <c r="F925" s="11" t="n">
        <v>70</v>
      </c>
      <c r="G925" s="11" t="n">
        <v>47.2</v>
      </c>
      <c r="H925" s="6" t="n">
        <v>4</v>
      </c>
      <c r="I925" s="6" t="n">
        <v>356</v>
      </c>
      <c r="J925" s="5" t="inlineStr">
        <is>
          <t>WA</t>
        </is>
      </c>
      <c r="K925" s="5" t="inlineStr">
        <is>
          <t>SFR</t>
        </is>
      </c>
      <c r="L925" s="5" t="inlineStr">
        <is>
          <t>Apex Funding</t>
        </is>
      </c>
      <c r="M925" s="5" t="inlineStr">
        <is>
          <t>Pier Asset Mgmt</t>
        </is>
      </c>
    </row>
    <row r="926">
      <c r="A926" s="7" t="inlineStr">
        <is>
          <t>L100921</t>
        </is>
      </c>
      <c r="B926" s="8" t="n">
        <v>179252.04</v>
      </c>
      <c r="C926" s="8" t="n">
        <v>155893.12</v>
      </c>
      <c r="D926" s="27" t="n">
        <v>6.952</v>
      </c>
      <c r="E926" s="10" t="n">
        <v>727</v>
      </c>
      <c r="F926" s="12" t="n">
        <v>83.90000000000001</v>
      </c>
      <c r="G926" s="12" t="n">
        <v>24.6</v>
      </c>
      <c r="H926" s="10" t="n">
        <v>37</v>
      </c>
      <c r="I926" s="10" t="n">
        <v>143</v>
      </c>
      <c r="J926" s="7" t="inlineStr">
        <is>
          <t>TX</t>
        </is>
      </c>
      <c r="K926" s="7" t="inlineStr">
        <is>
          <t>Condo</t>
        </is>
      </c>
      <c r="L926" s="7" t="inlineStr">
        <is>
          <t>Highline Capital</t>
        </is>
      </c>
      <c r="M926" s="7" t="inlineStr">
        <is>
          <t>Northgate Servicing</t>
        </is>
      </c>
    </row>
    <row r="927">
      <c r="A927" s="5" t="inlineStr">
        <is>
          <t>L100922</t>
        </is>
      </c>
      <c r="B927" s="16" t="n">
        <v>253147.87</v>
      </c>
      <c r="C927" s="16" t="n">
        <v>246619.49</v>
      </c>
      <c r="D927" s="26" t="n">
        <v>7.205</v>
      </c>
      <c r="E927" s="6" t="n">
        <v>645</v>
      </c>
      <c r="F927" s="11" t="n">
        <v>76.2</v>
      </c>
      <c r="G927" s="11" t="n">
        <v>34.4</v>
      </c>
      <c r="H927" s="6" t="n">
        <v>30</v>
      </c>
      <c r="I927" s="6" t="n">
        <v>330</v>
      </c>
      <c r="J927" s="5" t="inlineStr">
        <is>
          <t>TX</t>
        </is>
      </c>
      <c r="K927" s="5" t="inlineStr">
        <is>
          <t>SFR</t>
        </is>
      </c>
      <c r="L927" s="5" t="inlineStr">
        <is>
          <t>Highline Capital</t>
        </is>
      </c>
      <c r="M927" s="5" t="inlineStr">
        <is>
          <t>Northgate Servicing</t>
        </is>
      </c>
    </row>
    <row r="928">
      <c r="A928" s="7" t="inlineStr">
        <is>
          <t>L100923</t>
        </is>
      </c>
      <c r="B928" s="8" t="n">
        <v>198787.71</v>
      </c>
      <c r="C928" s="8" t="n">
        <v>197732.25</v>
      </c>
      <c r="D928" s="27" t="n">
        <v>6.681</v>
      </c>
      <c r="E928" s="10" t="n">
        <v>680</v>
      </c>
      <c r="F928" s="12" t="n">
        <v>58.2</v>
      </c>
      <c r="G928" s="12" t="n">
        <v>44.4</v>
      </c>
      <c r="H928" s="10" t="n">
        <v>6</v>
      </c>
      <c r="I928" s="10" t="n">
        <v>354</v>
      </c>
      <c r="J928" s="7" t="inlineStr">
        <is>
          <t>NY</t>
        </is>
      </c>
      <c r="K928" s="7" t="inlineStr">
        <is>
          <t>SFR</t>
        </is>
      </c>
      <c r="L928" s="7" t="inlineStr">
        <is>
          <t>Coastal Mortgage Co</t>
        </is>
      </c>
      <c r="M928" s="7" t="inlineStr">
        <is>
          <t>Pier Asset Mgmt</t>
        </is>
      </c>
    </row>
    <row r="929">
      <c r="A929" s="5" t="inlineStr">
        <is>
          <t>L100924</t>
        </is>
      </c>
      <c r="B929" s="16" t="n">
        <v>229084.17</v>
      </c>
      <c r="C929" s="16" t="n">
        <v>208047.65</v>
      </c>
      <c r="D929" s="26" t="n">
        <v>5.348</v>
      </c>
      <c r="E929" s="6" t="n">
        <v>678</v>
      </c>
      <c r="F929" s="11" t="n">
        <v>57</v>
      </c>
      <c r="G929" s="11" t="n">
        <v>35.8</v>
      </c>
      <c r="H929" s="6" t="n">
        <v>24</v>
      </c>
      <c r="I929" s="6" t="n">
        <v>156</v>
      </c>
      <c r="J929" s="5" t="inlineStr">
        <is>
          <t>NY</t>
        </is>
      </c>
      <c r="K929" s="5" t="inlineStr">
        <is>
          <t>SFR</t>
        </is>
      </c>
      <c r="L929" s="5" t="inlineStr">
        <is>
          <t>Apex Funding</t>
        </is>
      </c>
      <c r="M929" s="5" t="inlineStr">
        <is>
          <t>Summit Loan Servicing</t>
        </is>
      </c>
    </row>
    <row r="930">
      <c r="A930" s="7" t="inlineStr">
        <is>
          <t>L100925</t>
        </is>
      </c>
      <c r="B930" s="8" t="n">
        <v>469189.12</v>
      </c>
      <c r="C930" s="8" t="n">
        <v>459789.28</v>
      </c>
      <c r="D930" s="27" t="n">
        <v>7.021</v>
      </c>
      <c r="E930" s="10" t="n">
        <v>764</v>
      </c>
      <c r="F930" s="12" t="n">
        <v>87.5</v>
      </c>
      <c r="G930" s="12" t="n">
        <v>28.2</v>
      </c>
      <c r="H930" s="10" t="n">
        <v>23</v>
      </c>
      <c r="I930" s="10" t="n">
        <v>337</v>
      </c>
      <c r="J930" s="7" t="inlineStr">
        <is>
          <t>TX</t>
        </is>
      </c>
      <c r="K930" s="7" t="inlineStr">
        <is>
          <t>SFR</t>
        </is>
      </c>
      <c r="L930" s="7" t="inlineStr">
        <is>
          <t>Meridian Home Loans</t>
        </is>
      </c>
      <c r="M930" s="7" t="inlineStr">
        <is>
          <t>Northgate Servicing</t>
        </is>
      </c>
    </row>
    <row r="931">
      <c r="A931" s="5" t="inlineStr">
        <is>
          <t>L100926</t>
        </is>
      </c>
      <c r="B931" s="16" t="n">
        <v>228798.75</v>
      </c>
      <c r="C931" s="16" t="n">
        <v>228038.42</v>
      </c>
      <c r="D931" s="26" t="n">
        <v>6.399</v>
      </c>
      <c r="E931" s="6" t="n">
        <v>759</v>
      </c>
      <c r="F931" s="11" t="n">
        <v>88.40000000000001</v>
      </c>
      <c r="G931" s="11" t="n">
        <v>25.2</v>
      </c>
      <c r="H931" s="6" t="n">
        <v>1</v>
      </c>
      <c r="I931" s="6" t="n">
        <v>179</v>
      </c>
      <c r="J931" s="5" t="inlineStr">
        <is>
          <t>NC</t>
        </is>
      </c>
      <c r="K931" s="5" t="inlineStr">
        <is>
          <t>SFR</t>
        </is>
      </c>
      <c r="L931" s="5" t="inlineStr">
        <is>
          <t>Apex Funding</t>
        </is>
      </c>
      <c r="M931" s="5" t="inlineStr">
        <is>
          <t>Summit Loan Servicing</t>
        </is>
      </c>
    </row>
    <row r="932">
      <c r="A932" s="7" t="inlineStr">
        <is>
          <t>L100927</t>
        </is>
      </c>
      <c r="B932" s="8" t="n">
        <v>280639.81</v>
      </c>
      <c r="C932" s="8" t="n">
        <v>271891.16</v>
      </c>
      <c r="D932" s="27" t="n">
        <v>5.966</v>
      </c>
      <c r="E932" s="10" t="n">
        <v>730</v>
      </c>
      <c r="F932" s="12" t="n">
        <v>77.90000000000001</v>
      </c>
      <c r="G932" s="12" t="n">
        <v>34.2</v>
      </c>
      <c r="H932" s="10" t="n">
        <v>29</v>
      </c>
      <c r="I932" s="10" t="n">
        <v>331</v>
      </c>
      <c r="J932" s="7" t="inlineStr">
        <is>
          <t>NY</t>
        </is>
      </c>
      <c r="K932" s="7" t="inlineStr">
        <is>
          <t>SFR</t>
        </is>
      </c>
      <c r="L932" s="7" t="inlineStr">
        <is>
          <t>Meridian Home Loans</t>
        </is>
      </c>
      <c r="M932" s="7" t="inlineStr">
        <is>
          <t>Pier Asset Mgmt</t>
        </is>
      </c>
    </row>
    <row r="933">
      <c r="A933" s="5" t="inlineStr">
        <is>
          <t>L100928</t>
        </is>
      </c>
      <c r="B933" s="16" t="n">
        <v>223844.24</v>
      </c>
      <c r="C933" s="16" t="n">
        <v>219523.03</v>
      </c>
      <c r="D933" s="26" t="n">
        <v>6.135</v>
      </c>
      <c r="E933" s="6" t="n">
        <v>641</v>
      </c>
      <c r="F933" s="11" t="n">
        <v>91.90000000000001</v>
      </c>
      <c r="G933" s="11" t="n">
        <v>29.9</v>
      </c>
      <c r="H933" s="6" t="n">
        <v>19</v>
      </c>
      <c r="I933" s="6" t="n">
        <v>341</v>
      </c>
      <c r="J933" s="5" t="inlineStr">
        <is>
          <t>GA</t>
        </is>
      </c>
      <c r="K933" s="5" t="inlineStr">
        <is>
          <t>Condo</t>
        </is>
      </c>
      <c r="L933" s="5" t="inlineStr">
        <is>
          <t>Highline Capital</t>
        </is>
      </c>
      <c r="M933" s="5" t="inlineStr">
        <is>
          <t>Pier Asset Mgmt</t>
        </is>
      </c>
    </row>
    <row r="934">
      <c r="A934" s="7" t="inlineStr">
        <is>
          <t>L100929</t>
        </is>
      </c>
      <c r="B934" s="8" t="n">
        <v>249321.79</v>
      </c>
      <c r="C934" s="8" t="n">
        <v>237303.18</v>
      </c>
      <c r="D934" s="27" t="n">
        <v>5.779</v>
      </c>
      <c r="E934" s="10" t="n">
        <v>698</v>
      </c>
      <c r="F934" s="12" t="n">
        <v>86.7</v>
      </c>
      <c r="G934" s="12" t="n">
        <v>37.6</v>
      </c>
      <c r="H934" s="10" t="n">
        <v>42</v>
      </c>
      <c r="I934" s="10" t="n">
        <v>318</v>
      </c>
      <c r="J934" s="7" t="inlineStr">
        <is>
          <t>FL</t>
        </is>
      </c>
      <c r="K934" s="7" t="inlineStr">
        <is>
          <t>SFR</t>
        </is>
      </c>
      <c r="L934" s="7" t="inlineStr">
        <is>
          <t>Highline Capital</t>
        </is>
      </c>
      <c r="M934" s="7" t="inlineStr">
        <is>
          <t>Pier Asset Mgmt</t>
        </is>
      </c>
    </row>
    <row r="935">
      <c r="A935" s="5" t="inlineStr">
        <is>
          <t>L100930</t>
        </is>
      </c>
      <c r="B935" s="16" t="n">
        <v>243313.46</v>
      </c>
      <c r="C935" s="16" t="n">
        <v>238718.7</v>
      </c>
      <c r="D935" s="26" t="n">
        <v>7.2</v>
      </c>
      <c r="E935" s="6" t="n">
        <v>674</v>
      </c>
      <c r="F935" s="11" t="n">
        <v>82.2</v>
      </c>
      <c r="G935" s="11" t="n">
        <v>24.8</v>
      </c>
      <c r="H935" s="6" t="n">
        <v>6</v>
      </c>
      <c r="I935" s="6" t="n">
        <v>174</v>
      </c>
      <c r="J935" s="5" t="inlineStr">
        <is>
          <t>CA</t>
        </is>
      </c>
      <c r="K935" s="5" t="inlineStr">
        <is>
          <t>SFR</t>
        </is>
      </c>
      <c r="L935" s="5" t="inlineStr">
        <is>
          <t>Meridian Home Loans</t>
        </is>
      </c>
      <c r="M935" s="5" t="inlineStr">
        <is>
          <t>Northgate Servicing</t>
        </is>
      </c>
    </row>
    <row r="936">
      <c r="A936" s="7" t="inlineStr">
        <is>
          <t>L100931</t>
        </is>
      </c>
      <c r="B936" s="8" t="n">
        <v>284052.23</v>
      </c>
      <c r="C936" s="8" t="n">
        <v>238281.89</v>
      </c>
      <c r="D936" s="27" t="n">
        <v>5.124</v>
      </c>
      <c r="E936" s="10" t="n">
        <v>763</v>
      </c>
      <c r="F936" s="12" t="n">
        <v>63.1</v>
      </c>
      <c r="G936" s="12" t="n">
        <v>42.5</v>
      </c>
      <c r="H936" s="10" t="n">
        <v>40</v>
      </c>
      <c r="I936" s="10" t="n">
        <v>140</v>
      </c>
      <c r="J936" s="7" t="inlineStr">
        <is>
          <t>CA</t>
        </is>
      </c>
      <c r="K936" s="7" t="inlineStr">
        <is>
          <t>SFR</t>
        </is>
      </c>
      <c r="L936" s="7" t="inlineStr">
        <is>
          <t>Highline Capital</t>
        </is>
      </c>
      <c r="M936" s="7" t="inlineStr">
        <is>
          <t>Northgate Servicing</t>
        </is>
      </c>
    </row>
    <row r="937">
      <c r="A937" s="5" t="inlineStr">
        <is>
          <t>L100932</t>
        </is>
      </c>
      <c r="B937" s="16" t="n">
        <v>365074.83</v>
      </c>
      <c r="C937" s="16" t="n">
        <v>364675.69</v>
      </c>
      <c r="D937" s="26" t="n">
        <v>5.506</v>
      </c>
      <c r="E937" s="6" t="n">
        <v>780</v>
      </c>
      <c r="F937" s="11" t="n">
        <v>94.8</v>
      </c>
      <c r="G937" s="11" t="n">
        <v>36.9</v>
      </c>
      <c r="H937" s="6" t="n">
        <v>1</v>
      </c>
      <c r="I937" s="6" t="n">
        <v>359</v>
      </c>
      <c r="J937" s="5" t="inlineStr">
        <is>
          <t>CA</t>
        </is>
      </c>
      <c r="K937" s="5" t="inlineStr">
        <is>
          <t>SFR</t>
        </is>
      </c>
      <c r="L937" s="5" t="inlineStr">
        <is>
          <t>Highline Capital</t>
        </is>
      </c>
      <c r="M937" s="5" t="inlineStr">
        <is>
          <t>Summit Loan Servicing</t>
        </is>
      </c>
    </row>
    <row r="938">
      <c r="A938" s="7" t="inlineStr">
        <is>
          <t>L100933</t>
        </is>
      </c>
      <c r="B938" s="8" t="n">
        <v>432175.87</v>
      </c>
      <c r="C938" s="8" t="n">
        <v>415560.22</v>
      </c>
      <c r="D938" s="27" t="n">
        <v>6.104</v>
      </c>
      <c r="E938" s="10" t="n">
        <v>773</v>
      </c>
      <c r="F938" s="12" t="n">
        <v>80.40000000000001</v>
      </c>
      <c r="G938" s="12" t="n">
        <v>37.5</v>
      </c>
      <c r="H938" s="10" t="n">
        <v>36</v>
      </c>
      <c r="I938" s="10" t="n">
        <v>324</v>
      </c>
      <c r="J938" s="7" t="inlineStr">
        <is>
          <t>OH</t>
        </is>
      </c>
      <c r="K938" s="7" t="inlineStr">
        <is>
          <t>Condo</t>
        </is>
      </c>
      <c r="L938" s="7" t="inlineStr">
        <is>
          <t>Coastal Mortgage Co</t>
        </is>
      </c>
      <c r="M938" s="7" t="inlineStr">
        <is>
          <t>Pier Asset Mgmt</t>
        </is>
      </c>
    </row>
    <row r="939">
      <c r="A939" s="5" t="inlineStr">
        <is>
          <t>L100934</t>
        </is>
      </c>
      <c r="B939" s="16" t="n">
        <v>270591.89</v>
      </c>
      <c r="C939" s="16" t="n">
        <v>262788.48</v>
      </c>
      <c r="D939" s="26" t="n">
        <v>7.852</v>
      </c>
      <c r="E939" s="6" t="n">
        <v>673</v>
      </c>
      <c r="F939" s="11" t="n">
        <v>69.40000000000001</v>
      </c>
      <c r="G939" s="11" t="n">
        <v>47.5</v>
      </c>
      <c r="H939" s="6" t="n">
        <v>37</v>
      </c>
      <c r="I939" s="6" t="n">
        <v>323</v>
      </c>
      <c r="J939" s="5" t="inlineStr">
        <is>
          <t>FL</t>
        </is>
      </c>
      <c r="K939" s="5" t="inlineStr">
        <is>
          <t>SFR</t>
        </is>
      </c>
      <c r="L939" s="5" t="inlineStr">
        <is>
          <t>Coastal Mortgage Co</t>
        </is>
      </c>
      <c r="M939" s="5" t="inlineStr">
        <is>
          <t>Pier Asset Mgmt</t>
        </is>
      </c>
    </row>
    <row r="940">
      <c r="A940" s="7" t="inlineStr">
        <is>
          <t>L100935</t>
        </is>
      </c>
      <c r="B940" s="8" t="n">
        <v>298445.14</v>
      </c>
      <c r="C940" s="8" t="n">
        <v>293604.05</v>
      </c>
      <c r="D940" s="27" t="n">
        <v>7.349</v>
      </c>
      <c r="E940" s="10" t="n">
        <v>580</v>
      </c>
      <c r="F940" s="12" t="n">
        <v>66</v>
      </c>
      <c r="G940" s="12" t="n">
        <v>32.5</v>
      </c>
      <c r="H940" s="10" t="n">
        <v>20</v>
      </c>
      <c r="I940" s="10" t="n">
        <v>340</v>
      </c>
      <c r="J940" s="7" t="inlineStr">
        <is>
          <t>NY</t>
        </is>
      </c>
      <c r="K940" s="7" t="inlineStr">
        <is>
          <t>Condo</t>
        </is>
      </c>
      <c r="L940" s="7" t="inlineStr">
        <is>
          <t>Meridian Home Loans</t>
        </is>
      </c>
      <c r="M940" s="7" t="inlineStr">
        <is>
          <t>Pier Asset Mgmt</t>
        </is>
      </c>
    </row>
    <row r="941">
      <c r="A941" s="5" t="inlineStr">
        <is>
          <t>L100936</t>
        </is>
      </c>
      <c r="B941" s="16" t="n">
        <v>162299.3</v>
      </c>
      <c r="C941" s="16" t="n">
        <v>159454.98</v>
      </c>
      <c r="D941" s="26" t="n">
        <v>4.923</v>
      </c>
      <c r="E941" s="6" t="n">
        <v>618</v>
      </c>
      <c r="F941" s="11" t="n">
        <v>77.09999999999999</v>
      </c>
      <c r="G941" s="11" t="n">
        <v>30.2</v>
      </c>
      <c r="H941" s="6" t="n">
        <v>14</v>
      </c>
      <c r="I941" s="6" t="n">
        <v>346</v>
      </c>
      <c r="J941" s="5" t="inlineStr">
        <is>
          <t>GA</t>
        </is>
      </c>
      <c r="K941" s="5" t="inlineStr">
        <is>
          <t>SFR</t>
        </is>
      </c>
      <c r="L941" s="5" t="inlineStr">
        <is>
          <t>Highline Capital</t>
        </is>
      </c>
      <c r="M941" s="5" t="inlineStr">
        <is>
          <t>Northgate Servicing</t>
        </is>
      </c>
    </row>
    <row r="942">
      <c r="A942" s="7" t="inlineStr">
        <is>
          <t>L100937</t>
        </is>
      </c>
      <c r="B942" s="8" t="n">
        <v>235447.48</v>
      </c>
      <c r="C942" s="8" t="n">
        <v>234229.45</v>
      </c>
      <c r="D942" s="27" t="n">
        <v>7.616</v>
      </c>
      <c r="E942" s="10" t="n">
        <v>793</v>
      </c>
      <c r="F942" s="12" t="n">
        <v>53.9</v>
      </c>
      <c r="G942" s="12" t="n">
        <v>31.6</v>
      </c>
      <c r="H942" s="10" t="n">
        <v>7</v>
      </c>
      <c r="I942" s="10" t="n">
        <v>353</v>
      </c>
      <c r="J942" s="7" t="inlineStr">
        <is>
          <t>CA</t>
        </is>
      </c>
      <c r="K942" s="7" t="inlineStr">
        <is>
          <t>Condo</t>
        </is>
      </c>
      <c r="L942" s="7" t="inlineStr">
        <is>
          <t>Meridian Home Loans</t>
        </is>
      </c>
      <c r="M942" s="7" t="inlineStr">
        <is>
          <t>Summit Loan Servicing</t>
        </is>
      </c>
    </row>
    <row r="943">
      <c r="A943" s="5" t="inlineStr">
        <is>
          <t>L100938</t>
        </is>
      </c>
      <c r="B943" s="16" t="n">
        <v>337425.93</v>
      </c>
      <c r="C943" s="16" t="n">
        <v>333317.79</v>
      </c>
      <c r="D943" s="26" t="n">
        <v>7.614</v>
      </c>
      <c r="E943" s="6" t="n">
        <v>693</v>
      </c>
      <c r="F943" s="11" t="n">
        <v>82.40000000000001</v>
      </c>
      <c r="G943" s="11" t="n">
        <v>34.5</v>
      </c>
      <c r="H943" s="6" t="n">
        <v>16</v>
      </c>
      <c r="I943" s="6" t="n">
        <v>344</v>
      </c>
      <c r="J943" s="5" t="inlineStr">
        <is>
          <t>NC</t>
        </is>
      </c>
      <c r="K943" s="5" t="inlineStr">
        <is>
          <t>SFR</t>
        </is>
      </c>
      <c r="L943" s="5" t="inlineStr">
        <is>
          <t>Highline Capital</t>
        </is>
      </c>
      <c r="M943" s="5" t="inlineStr">
        <is>
          <t>Northgate Servicing</t>
        </is>
      </c>
    </row>
    <row r="944">
      <c r="A944" s="7" t="inlineStr">
        <is>
          <t>L100939</t>
        </is>
      </c>
      <c r="B944" s="8" t="n">
        <v>328761.89</v>
      </c>
      <c r="C944" s="8" t="n">
        <v>316046.37</v>
      </c>
      <c r="D944" s="27" t="n">
        <v>5.343</v>
      </c>
      <c r="E944" s="10" t="n">
        <v>674</v>
      </c>
      <c r="F944" s="12" t="n">
        <v>62.6</v>
      </c>
      <c r="G944" s="12" t="n">
        <v>35.3</v>
      </c>
      <c r="H944" s="10" t="n">
        <v>32</v>
      </c>
      <c r="I944" s="10" t="n">
        <v>328</v>
      </c>
      <c r="J944" s="7" t="inlineStr">
        <is>
          <t>GA</t>
        </is>
      </c>
      <c r="K944" s="7" t="inlineStr">
        <is>
          <t>2-4 Unit</t>
        </is>
      </c>
      <c r="L944" s="7" t="inlineStr">
        <is>
          <t>Apex Funding</t>
        </is>
      </c>
      <c r="M944" s="7" t="inlineStr">
        <is>
          <t>Summit Loan Servicing</t>
        </is>
      </c>
    </row>
    <row r="945">
      <c r="A945" s="5" t="inlineStr">
        <is>
          <t>L100940</t>
        </is>
      </c>
      <c r="B945" s="16" t="n">
        <v>261467.01</v>
      </c>
      <c r="C945" s="16" t="n">
        <v>247803.5</v>
      </c>
      <c r="D945" s="26" t="n">
        <v>4.131</v>
      </c>
      <c r="E945" s="6" t="n">
        <v>805</v>
      </c>
      <c r="F945" s="11" t="n">
        <v>78.40000000000001</v>
      </c>
      <c r="G945" s="11" t="n">
        <v>29.4</v>
      </c>
      <c r="H945" s="6" t="n">
        <v>35</v>
      </c>
      <c r="I945" s="6" t="n">
        <v>325</v>
      </c>
      <c r="J945" s="5" t="inlineStr">
        <is>
          <t>AZ</t>
        </is>
      </c>
      <c r="K945" s="5" t="inlineStr">
        <is>
          <t>SFR</t>
        </is>
      </c>
      <c r="L945" s="5" t="inlineStr">
        <is>
          <t>Highline Capital</t>
        </is>
      </c>
      <c r="M945" s="5" t="inlineStr">
        <is>
          <t>Summit Loan Servicing</t>
        </is>
      </c>
    </row>
    <row r="946">
      <c r="A946" s="7" t="inlineStr">
        <is>
          <t>L100941</t>
        </is>
      </c>
      <c r="B946" s="8" t="n">
        <v>331120.58</v>
      </c>
      <c r="C946" s="8" t="n">
        <v>328279.52</v>
      </c>
      <c r="D946" s="27" t="n">
        <v>6.335</v>
      </c>
      <c r="E946" s="10" t="n">
        <v>785</v>
      </c>
      <c r="F946" s="12" t="n">
        <v>67.7</v>
      </c>
      <c r="G946" s="12" t="n">
        <v>19.8</v>
      </c>
      <c r="H946" s="10" t="n">
        <v>9</v>
      </c>
      <c r="I946" s="10" t="n">
        <v>351</v>
      </c>
      <c r="J946" s="7" t="inlineStr">
        <is>
          <t>TX</t>
        </is>
      </c>
      <c r="K946" s="7" t="inlineStr">
        <is>
          <t>2-4 Unit</t>
        </is>
      </c>
      <c r="L946" s="7" t="inlineStr">
        <is>
          <t>Coastal Mortgage Co</t>
        </is>
      </c>
      <c r="M946" s="7" t="inlineStr">
        <is>
          <t>Pier Asset Mgmt</t>
        </is>
      </c>
    </row>
    <row r="947">
      <c r="A947" s="5" t="inlineStr">
        <is>
          <t>L100942</t>
        </is>
      </c>
      <c r="B947" s="16" t="n">
        <v>288303.31</v>
      </c>
      <c r="C947" s="16" t="n">
        <v>288085.46</v>
      </c>
      <c r="D947" s="26" t="n">
        <v>7.41</v>
      </c>
      <c r="E947" s="6" t="n">
        <v>716</v>
      </c>
      <c r="F947" s="11" t="n">
        <v>70.8</v>
      </c>
      <c r="G947" s="11" t="n">
        <v>31.5</v>
      </c>
      <c r="H947" s="6" t="n">
        <v>1</v>
      </c>
      <c r="I947" s="6" t="n">
        <v>359</v>
      </c>
      <c r="J947" s="5" t="inlineStr">
        <is>
          <t>CA</t>
        </is>
      </c>
      <c r="K947" s="5" t="inlineStr">
        <is>
          <t>SFR</t>
        </is>
      </c>
      <c r="L947" s="5" t="inlineStr">
        <is>
          <t>Highline Capital</t>
        </is>
      </c>
      <c r="M947" s="5" t="inlineStr">
        <is>
          <t>Pier Asset Mgmt</t>
        </is>
      </c>
    </row>
    <row r="948">
      <c r="A948" s="7" t="inlineStr">
        <is>
          <t>L100943</t>
        </is>
      </c>
      <c r="B948" s="8" t="n">
        <v>369574.34</v>
      </c>
      <c r="C948" s="8" t="n">
        <v>362026.23</v>
      </c>
      <c r="D948" s="27" t="n">
        <v>7.832</v>
      </c>
      <c r="E948" s="10" t="n">
        <v>699</v>
      </c>
      <c r="F948" s="12" t="n">
        <v>64.90000000000001</v>
      </c>
      <c r="G948" s="12" t="n">
        <v>38.9</v>
      </c>
      <c r="H948" s="10" t="n">
        <v>27</v>
      </c>
      <c r="I948" s="10" t="n">
        <v>333</v>
      </c>
      <c r="J948" s="7" t="inlineStr">
        <is>
          <t>AZ</t>
        </is>
      </c>
      <c r="K948" s="7" t="inlineStr">
        <is>
          <t>SFR</t>
        </is>
      </c>
      <c r="L948" s="7" t="inlineStr">
        <is>
          <t>Coastal Mortgage Co</t>
        </is>
      </c>
      <c r="M948" s="7" t="inlineStr">
        <is>
          <t>Northgate Servicing</t>
        </is>
      </c>
    </row>
    <row r="949">
      <c r="A949" s="5" t="inlineStr">
        <is>
          <t>L100944</t>
        </is>
      </c>
      <c r="B949" s="16" t="n">
        <v>268679.82</v>
      </c>
      <c r="C949" s="16" t="n">
        <v>260093.27</v>
      </c>
      <c r="D949" s="26" t="n">
        <v>5.616</v>
      </c>
      <c r="E949" s="6" t="n">
        <v>708</v>
      </c>
      <c r="F949" s="11" t="n">
        <v>72.09999999999999</v>
      </c>
      <c r="G949" s="11" t="n">
        <v>37.1</v>
      </c>
      <c r="H949" s="6" t="n">
        <v>28</v>
      </c>
      <c r="I949" s="6" t="n">
        <v>332</v>
      </c>
      <c r="J949" s="5" t="inlineStr">
        <is>
          <t>NY</t>
        </is>
      </c>
      <c r="K949" s="5" t="inlineStr">
        <is>
          <t>SFR</t>
        </is>
      </c>
      <c r="L949" s="5" t="inlineStr">
        <is>
          <t>Coastal Mortgage Co</t>
        </is>
      </c>
      <c r="M949" s="5" t="inlineStr">
        <is>
          <t>Northgate Servicing</t>
        </is>
      </c>
    </row>
    <row r="950">
      <c r="A950" s="7" t="inlineStr">
        <is>
          <t>L100945</t>
        </is>
      </c>
      <c r="B950" s="8" t="n">
        <v>214380.04</v>
      </c>
      <c r="C950" s="8" t="n">
        <v>206437.64</v>
      </c>
      <c r="D950" s="27" t="n">
        <v>7.977</v>
      </c>
      <c r="E950" s="10" t="n">
        <v>727</v>
      </c>
      <c r="F950" s="12" t="n">
        <v>96.7</v>
      </c>
      <c r="G950" s="12" t="n">
        <v>45.6</v>
      </c>
      <c r="H950" s="10" t="n">
        <v>47</v>
      </c>
      <c r="I950" s="10" t="n">
        <v>313</v>
      </c>
      <c r="J950" s="7" t="inlineStr">
        <is>
          <t>CA</t>
        </is>
      </c>
      <c r="K950" s="7" t="inlineStr">
        <is>
          <t>SFR</t>
        </is>
      </c>
      <c r="L950" s="7" t="inlineStr">
        <is>
          <t>Coastal Mortgage Co</t>
        </is>
      </c>
      <c r="M950" s="7" t="inlineStr">
        <is>
          <t>Northgate Servicing</t>
        </is>
      </c>
    </row>
    <row r="951">
      <c r="A951" s="5" t="inlineStr">
        <is>
          <t>L100946</t>
        </is>
      </c>
      <c r="B951" s="16" t="n">
        <v>273086.65</v>
      </c>
      <c r="C951" s="16" t="n">
        <v>259009.86</v>
      </c>
      <c r="D951" s="26" t="n">
        <v>4.395</v>
      </c>
      <c r="E951" s="6" t="n">
        <v>803</v>
      </c>
      <c r="F951" s="11" t="n">
        <v>90.59999999999999</v>
      </c>
      <c r="G951" s="11" t="n">
        <v>51.6</v>
      </c>
      <c r="H951" s="6" t="n">
        <v>36</v>
      </c>
      <c r="I951" s="6" t="n">
        <v>324</v>
      </c>
      <c r="J951" s="5" t="inlineStr">
        <is>
          <t>GA</t>
        </is>
      </c>
      <c r="K951" s="5" t="inlineStr">
        <is>
          <t>SFR</t>
        </is>
      </c>
      <c r="L951" s="5" t="inlineStr">
        <is>
          <t>Highline Capital</t>
        </is>
      </c>
      <c r="M951" s="5" t="inlineStr">
        <is>
          <t>Summit Loan Servicing</t>
        </is>
      </c>
    </row>
    <row r="952">
      <c r="A952" s="7" t="inlineStr">
        <is>
          <t>L100947</t>
        </is>
      </c>
      <c r="B952" s="8" t="n">
        <v>87054.7</v>
      </c>
      <c r="C952" s="8" t="n">
        <v>84684.59</v>
      </c>
      <c r="D952" s="27" t="n">
        <v>6.069</v>
      </c>
      <c r="E952" s="10" t="n">
        <v>738</v>
      </c>
      <c r="F952" s="12" t="n">
        <v>78.3</v>
      </c>
      <c r="G952" s="12" t="n">
        <v>42.1</v>
      </c>
      <c r="H952" s="10" t="n">
        <v>26</v>
      </c>
      <c r="I952" s="10" t="n">
        <v>334</v>
      </c>
      <c r="J952" s="7" t="inlineStr">
        <is>
          <t>IL</t>
        </is>
      </c>
      <c r="K952" s="7" t="inlineStr">
        <is>
          <t>2-4 Unit</t>
        </is>
      </c>
      <c r="L952" s="7" t="inlineStr">
        <is>
          <t>Coastal Mortgage Co</t>
        </is>
      </c>
      <c r="M952" s="7" t="inlineStr">
        <is>
          <t>Summit Loan Servicing</t>
        </is>
      </c>
    </row>
    <row r="953">
      <c r="A953" s="5" t="inlineStr">
        <is>
          <t>L100948</t>
        </is>
      </c>
      <c r="B953" s="16" t="n">
        <v>277620.4</v>
      </c>
      <c r="C953" s="16" t="n">
        <v>269373.44</v>
      </c>
      <c r="D953" s="26" t="n">
        <v>6.025</v>
      </c>
      <c r="E953" s="6" t="n">
        <v>755</v>
      </c>
      <c r="F953" s="11" t="n">
        <v>73.7</v>
      </c>
      <c r="G953" s="11" t="n">
        <v>47.1</v>
      </c>
      <c r="H953" s="6" t="n">
        <v>28</v>
      </c>
      <c r="I953" s="6" t="n">
        <v>332</v>
      </c>
      <c r="J953" s="5" t="inlineStr">
        <is>
          <t>WA</t>
        </is>
      </c>
      <c r="K953" s="5" t="inlineStr">
        <is>
          <t>Condo</t>
        </is>
      </c>
      <c r="L953" s="5" t="inlineStr">
        <is>
          <t>Coastal Mortgage Co</t>
        </is>
      </c>
      <c r="M953" s="5" t="inlineStr">
        <is>
          <t>Summit Loan Servicing</t>
        </is>
      </c>
    </row>
    <row r="954">
      <c r="A954" s="7" t="inlineStr">
        <is>
          <t>L100949</t>
        </is>
      </c>
      <c r="B954" s="8" t="n">
        <v>80000</v>
      </c>
      <c r="C954" s="8" t="n">
        <v>77952.02</v>
      </c>
      <c r="D954" s="27" t="n">
        <v>7.437</v>
      </c>
      <c r="E954" s="10" t="n">
        <v>779</v>
      </c>
      <c r="F954" s="12" t="n">
        <v>84.09999999999999</v>
      </c>
      <c r="G954" s="12" t="n">
        <v>42.1</v>
      </c>
      <c r="H954" s="10" t="n">
        <v>31</v>
      </c>
      <c r="I954" s="10" t="n">
        <v>329</v>
      </c>
      <c r="J954" s="7" t="inlineStr">
        <is>
          <t>WA</t>
        </is>
      </c>
      <c r="K954" s="7" t="inlineStr">
        <is>
          <t>SFR</t>
        </is>
      </c>
      <c r="L954" s="7" t="inlineStr">
        <is>
          <t>Apex Funding</t>
        </is>
      </c>
      <c r="M954" s="7" t="inlineStr">
        <is>
          <t>Pier Asset Mgmt</t>
        </is>
      </c>
    </row>
    <row r="955">
      <c r="A955" s="5" t="inlineStr">
        <is>
          <t>L100950</t>
        </is>
      </c>
      <c r="B955" s="16" t="n">
        <v>132825.01</v>
      </c>
      <c r="C955" s="16" t="n">
        <v>130537.9</v>
      </c>
      <c r="D955" s="26" t="n">
        <v>7.568</v>
      </c>
      <c r="E955" s="6" t="n">
        <v>651</v>
      </c>
      <c r="F955" s="11" t="n">
        <v>87.59999999999999</v>
      </c>
      <c r="G955" s="11" t="n">
        <v>49.7</v>
      </c>
      <c r="H955" s="6" t="n">
        <v>22</v>
      </c>
      <c r="I955" s="6" t="n">
        <v>338</v>
      </c>
      <c r="J955" s="5" t="inlineStr">
        <is>
          <t>GA</t>
        </is>
      </c>
      <c r="K955" s="5" t="inlineStr">
        <is>
          <t>Multifamily</t>
        </is>
      </c>
      <c r="L955" s="5" t="inlineStr">
        <is>
          <t>Apex Funding</t>
        </is>
      </c>
      <c r="M955" s="5" t="inlineStr">
        <is>
          <t>Northgate Servicing</t>
        </is>
      </c>
    </row>
    <row r="956">
      <c r="A956" s="7" t="inlineStr">
        <is>
          <t>L100951</t>
        </is>
      </c>
      <c r="B956" s="8" t="n">
        <v>284394.89</v>
      </c>
      <c r="C956" s="8" t="n">
        <v>276601.73</v>
      </c>
      <c r="D956" s="27" t="n">
        <v>7.259</v>
      </c>
      <c r="E956" s="10" t="n">
        <v>757</v>
      </c>
      <c r="F956" s="12" t="n">
        <v>64</v>
      </c>
      <c r="G956" s="12" t="n">
        <v>50.8</v>
      </c>
      <c r="H956" s="10" t="n">
        <v>32</v>
      </c>
      <c r="I956" s="10" t="n">
        <v>328</v>
      </c>
      <c r="J956" s="7" t="inlineStr">
        <is>
          <t>TX</t>
        </is>
      </c>
      <c r="K956" s="7" t="inlineStr">
        <is>
          <t>SFR</t>
        </is>
      </c>
      <c r="L956" s="7" t="inlineStr">
        <is>
          <t>Apex Funding</t>
        </is>
      </c>
      <c r="M956" s="7" t="inlineStr">
        <is>
          <t>Pier Asset Mgmt</t>
        </is>
      </c>
    </row>
    <row r="957">
      <c r="A957" s="5" t="inlineStr">
        <is>
          <t>L100952</t>
        </is>
      </c>
      <c r="B957" s="16" t="n">
        <v>286970.66</v>
      </c>
      <c r="C957" s="16" t="n">
        <v>276191.28</v>
      </c>
      <c r="D957" s="26" t="n">
        <v>5.185</v>
      </c>
      <c r="E957" s="6" t="n">
        <v>699</v>
      </c>
      <c r="F957" s="11" t="n">
        <v>73.09999999999999</v>
      </c>
      <c r="G957" s="11" t="n">
        <v>43.6</v>
      </c>
      <c r="H957" s="6" t="n">
        <v>10</v>
      </c>
      <c r="I957" s="6" t="n">
        <v>170</v>
      </c>
      <c r="J957" s="5" t="inlineStr">
        <is>
          <t>AZ</t>
        </is>
      </c>
      <c r="K957" s="5" t="inlineStr">
        <is>
          <t>SFR</t>
        </is>
      </c>
      <c r="L957" s="5" t="inlineStr">
        <is>
          <t>Coastal Mortgage Co</t>
        </is>
      </c>
      <c r="M957" s="5" t="inlineStr">
        <is>
          <t>Summit Loan Servicing</t>
        </is>
      </c>
    </row>
    <row r="958">
      <c r="A958" s="7" t="inlineStr">
        <is>
          <t>L100953</t>
        </is>
      </c>
      <c r="B958" s="8" t="n">
        <v>161643.72</v>
      </c>
      <c r="C958" s="8" t="n">
        <v>155880.46</v>
      </c>
      <c r="D958" s="27" t="n">
        <v>7.176</v>
      </c>
      <c r="E958" s="10" t="n">
        <v>580</v>
      </c>
      <c r="F958" s="12" t="n">
        <v>52.1</v>
      </c>
      <c r="G958" s="12" t="n">
        <v>41.7</v>
      </c>
      <c r="H958" s="10" t="n">
        <v>40</v>
      </c>
      <c r="I958" s="10" t="n">
        <v>320</v>
      </c>
      <c r="J958" s="7" t="inlineStr">
        <is>
          <t>FL</t>
        </is>
      </c>
      <c r="K958" s="7" t="inlineStr">
        <is>
          <t>2-4 Unit</t>
        </is>
      </c>
      <c r="L958" s="7" t="inlineStr">
        <is>
          <t>Meridian Home Loans</t>
        </is>
      </c>
      <c r="M958" s="7" t="inlineStr">
        <is>
          <t>Pier Asset Mgmt</t>
        </is>
      </c>
    </row>
    <row r="959">
      <c r="A959" s="5" t="inlineStr">
        <is>
          <t>L100954</t>
        </is>
      </c>
      <c r="B959" s="16" t="n">
        <v>189238.67</v>
      </c>
      <c r="C959" s="16" t="n">
        <v>161401.5</v>
      </c>
      <c r="D959" s="26" t="n">
        <v>6.858</v>
      </c>
      <c r="E959" s="6" t="n">
        <v>598</v>
      </c>
      <c r="F959" s="11" t="n">
        <v>87.5</v>
      </c>
      <c r="G959" s="11" t="n">
        <v>34.4</v>
      </c>
      <c r="H959" s="6" t="n">
        <v>41</v>
      </c>
      <c r="I959" s="6" t="n">
        <v>139</v>
      </c>
      <c r="J959" s="5" t="inlineStr">
        <is>
          <t>OH</t>
        </is>
      </c>
      <c r="K959" s="5" t="inlineStr">
        <is>
          <t>SFR</t>
        </is>
      </c>
      <c r="L959" s="5" t="inlineStr">
        <is>
          <t>Highline Capital</t>
        </is>
      </c>
      <c r="M959" s="5" t="inlineStr">
        <is>
          <t>Pier Asset Mgmt</t>
        </is>
      </c>
    </row>
    <row r="960">
      <c r="A960" s="7" t="inlineStr">
        <is>
          <t>L100955</t>
        </is>
      </c>
      <c r="B960" s="8" t="n">
        <v>392263.6</v>
      </c>
      <c r="C960" s="8" t="n">
        <v>359874.49</v>
      </c>
      <c r="D960" s="27" t="n">
        <v>4.896</v>
      </c>
      <c r="E960" s="10" t="n">
        <v>659</v>
      </c>
      <c r="F960" s="12" t="n">
        <v>97</v>
      </c>
      <c r="G960" s="12" t="n">
        <v>35.7</v>
      </c>
      <c r="H960" s="10" t="n">
        <v>21</v>
      </c>
      <c r="I960" s="10" t="n">
        <v>159</v>
      </c>
      <c r="J960" s="7" t="inlineStr">
        <is>
          <t>NC</t>
        </is>
      </c>
      <c r="K960" s="7" t="inlineStr">
        <is>
          <t>SFR</t>
        </is>
      </c>
      <c r="L960" s="7" t="inlineStr">
        <is>
          <t>Coastal Mortgage Co</t>
        </is>
      </c>
      <c r="M960" s="7" t="inlineStr">
        <is>
          <t>Northgate Servicing</t>
        </is>
      </c>
    </row>
    <row r="961">
      <c r="A961" s="5" t="inlineStr">
        <is>
          <t>L100956</t>
        </is>
      </c>
      <c r="B961" s="16" t="n">
        <v>204963.96</v>
      </c>
      <c r="C961" s="16" t="n">
        <v>198828.82</v>
      </c>
      <c r="D961" s="26" t="n">
        <v>4.54</v>
      </c>
      <c r="E961" s="6" t="n">
        <v>744</v>
      </c>
      <c r="F961" s="11" t="n">
        <v>75</v>
      </c>
      <c r="G961" s="11" t="n">
        <v>33.3</v>
      </c>
      <c r="H961" s="6" t="n">
        <v>22</v>
      </c>
      <c r="I961" s="6" t="n">
        <v>338</v>
      </c>
      <c r="J961" s="5" t="inlineStr">
        <is>
          <t>NY</t>
        </is>
      </c>
      <c r="K961" s="5" t="inlineStr">
        <is>
          <t>SFR</t>
        </is>
      </c>
      <c r="L961" s="5" t="inlineStr">
        <is>
          <t>Highline Capital</t>
        </is>
      </c>
      <c r="M961" s="5" t="inlineStr">
        <is>
          <t>Summit Loan Servicing</t>
        </is>
      </c>
    </row>
    <row r="962">
      <c r="A962" s="7" t="inlineStr">
        <is>
          <t>L100957</t>
        </is>
      </c>
      <c r="B962" s="8" t="n">
        <v>532331.72</v>
      </c>
      <c r="C962" s="8" t="n">
        <v>490302.33</v>
      </c>
      <c r="D962" s="27" t="n">
        <v>7.334</v>
      </c>
      <c r="E962" s="10" t="n">
        <v>721</v>
      </c>
      <c r="F962" s="12" t="n">
        <v>48.5</v>
      </c>
      <c r="G962" s="12" t="n">
        <v>41</v>
      </c>
      <c r="H962" s="10" t="n">
        <v>24</v>
      </c>
      <c r="I962" s="10" t="n">
        <v>156</v>
      </c>
      <c r="J962" s="7" t="inlineStr">
        <is>
          <t>WA</t>
        </is>
      </c>
      <c r="K962" s="7" t="inlineStr">
        <is>
          <t>SFR</t>
        </is>
      </c>
      <c r="L962" s="7" t="inlineStr">
        <is>
          <t>Coastal Mortgage Co</t>
        </is>
      </c>
      <c r="M962" s="7" t="inlineStr">
        <is>
          <t>Pier Asset Mgmt</t>
        </is>
      </c>
    </row>
    <row r="963">
      <c r="A963" s="5" t="inlineStr">
        <is>
          <t>L100958</t>
        </is>
      </c>
      <c r="B963" s="16" t="n">
        <v>242638.52</v>
      </c>
      <c r="C963" s="16" t="n">
        <v>207393.81</v>
      </c>
      <c r="D963" s="26" t="n">
        <v>6.238</v>
      </c>
      <c r="E963" s="6" t="n">
        <v>725</v>
      </c>
      <c r="F963" s="11" t="n">
        <v>81.3</v>
      </c>
      <c r="G963" s="11" t="n">
        <v>30.2</v>
      </c>
      <c r="H963" s="6" t="n">
        <v>39</v>
      </c>
      <c r="I963" s="6" t="n">
        <v>141</v>
      </c>
      <c r="J963" s="5" t="inlineStr">
        <is>
          <t>GA</t>
        </is>
      </c>
      <c r="K963" s="5" t="inlineStr">
        <is>
          <t>SFR</t>
        </is>
      </c>
      <c r="L963" s="5" t="inlineStr">
        <is>
          <t>Apex Funding</t>
        </is>
      </c>
      <c r="M963" s="5" t="inlineStr">
        <is>
          <t>Pier Asset Mgmt</t>
        </is>
      </c>
    </row>
    <row r="964">
      <c r="A964" s="7" t="inlineStr">
        <is>
          <t>L100959</t>
        </is>
      </c>
      <c r="B964" s="8" t="n">
        <v>280074.99</v>
      </c>
      <c r="C964" s="8" t="n">
        <v>277128.79</v>
      </c>
      <c r="D964" s="27" t="n">
        <v>5.243</v>
      </c>
      <c r="E964" s="10" t="n">
        <v>820</v>
      </c>
      <c r="F964" s="12" t="n">
        <v>63.2</v>
      </c>
      <c r="G964" s="12" t="n">
        <v>34.5</v>
      </c>
      <c r="H964" s="10" t="n">
        <v>9</v>
      </c>
      <c r="I964" s="10" t="n">
        <v>351</v>
      </c>
      <c r="J964" s="7" t="inlineStr">
        <is>
          <t>NY</t>
        </is>
      </c>
      <c r="K964" s="7" t="inlineStr">
        <is>
          <t>SFR</t>
        </is>
      </c>
      <c r="L964" s="7" t="inlineStr">
        <is>
          <t>Apex Funding</t>
        </is>
      </c>
      <c r="M964" s="7" t="inlineStr">
        <is>
          <t>Northgate Servicing</t>
        </is>
      </c>
    </row>
    <row r="965">
      <c r="A965" s="5" t="inlineStr">
        <is>
          <t>L100960</t>
        </is>
      </c>
      <c r="B965" s="16" t="n">
        <v>427584</v>
      </c>
      <c r="C965" s="16" t="n">
        <v>420342.3</v>
      </c>
      <c r="D965" s="26" t="n">
        <v>6.213</v>
      </c>
      <c r="E965" s="6" t="n">
        <v>645</v>
      </c>
      <c r="F965" s="11" t="n">
        <v>66</v>
      </c>
      <c r="G965" s="11" t="n">
        <v>17.2</v>
      </c>
      <c r="H965" s="6" t="n">
        <v>17</v>
      </c>
      <c r="I965" s="6" t="n">
        <v>343</v>
      </c>
      <c r="J965" s="5" t="inlineStr">
        <is>
          <t>TX</t>
        </is>
      </c>
      <c r="K965" s="5" t="inlineStr">
        <is>
          <t>SFR</t>
        </is>
      </c>
      <c r="L965" s="5" t="inlineStr">
        <is>
          <t>Highline Capital</t>
        </is>
      </c>
      <c r="M965" s="5" t="inlineStr">
        <is>
          <t>Summit Loan Servicing</t>
        </is>
      </c>
    </row>
    <row r="966">
      <c r="A966" s="7" t="inlineStr">
        <is>
          <t>L100961</t>
        </is>
      </c>
      <c r="B966" s="8" t="n">
        <v>254195.64</v>
      </c>
      <c r="C966" s="8" t="n">
        <v>228416.45</v>
      </c>
      <c r="D966" s="27" t="n">
        <v>6.728</v>
      </c>
      <c r="E966" s="10" t="n">
        <v>713</v>
      </c>
      <c r="F966" s="12" t="n">
        <v>81.5</v>
      </c>
      <c r="G966" s="12" t="n">
        <v>49.8</v>
      </c>
      <c r="H966" s="10" t="n">
        <v>29</v>
      </c>
      <c r="I966" s="10" t="n">
        <v>151</v>
      </c>
      <c r="J966" s="7" t="inlineStr">
        <is>
          <t>NC</t>
        </is>
      </c>
      <c r="K966" s="7" t="inlineStr">
        <is>
          <t>Condo</t>
        </is>
      </c>
      <c r="L966" s="7" t="inlineStr">
        <is>
          <t>Meridian Home Loans</t>
        </is>
      </c>
      <c r="M966" s="7" t="inlineStr">
        <is>
          <t>Northgate Servicing</t>
        </is>
      </c>
    </row>
    <row r="967">
      <c r="A967" s="5" t="inlineStr">
        <is>
          <t>L100962</t>
        </is>
      </c>
      <c r="B967" s="16" t="n">
        <v>170959.1</v>
      </c>
      <c r="C967" s="16" t="n">
        <v>150410.23</v>
      </c>
      <c r="D967" s="26" t="n">
        <v>6.325</v>
      </c>
      <c r="E967" s="6" t="n">
        <v>732</v>
      </c>
      <c r="F967" s="11" t="n">
        <v>77.09999999999999</v>
      </c>
      <c r="G967" s="11" t="n">
        <v>34.2</v>
      </c>
      <c r="H967" s="6" t="n">
        <v>33</v>
      </c>
      <c r="I967" s="6" t="n">
        <v>147</v>
      </c>
      <c r="J967" s="5" t="inlineStr">
        <is>
          <t>FL</t>
        </is>
      </c>
      <c r="K967" s="5" t="inlineStr">
        <is>
          <t>Multifamily</t>
        </is>
      </c>
      <c r="L967" s="5" t="inlineStr">
        <is>
          <t>Apex Funding</t>
        </is>
      </c>
      <c r="M967" s="5" t="inlineStr">
        <is>
          <t>Northgate Servicing</t>
        </is>
      </c>
    </row>
    <row r="968">
      <c r="A968" s="7" t="inlineStr">
        <is>
          <t>L100963</t>
        </is>
      </c>
      <c r="B968" s="8" t="n">
        <v>233653.7</v>
      </c>
      <c r="C968" s="8" t="n">
        <v>229617.18</v>
      </c>
      <c r="D968" s="27" t="n">
        <v>5.003</v>
      </c>
      <c r="E968" s="10" t="n">
        <v>675</v>
      </c>
      <c r="F968" s="12" t="n">
        <v>68.09999999999999</v>
      </c>
      <c r="G968" s="12" t="n">
        <v>39.6</v>
      </c>
      <c r="H968" s="10" t="n">
        <v>14</v>
      </c>
      <c r="I968" s="10" t="n">
        <v>346</v>
      </c>
      <c r="J968" s="7" t="inlineStr">
        <is>
          <t>TX</t>
        </is>
      </c>
      <c r="K968" s="7" t="inlineStr">
        <is>
          <t>SFR</t>
        </is>
      </c>
      <c r="L968" s="7" t="inlineStr">
        <is>
          <t>Meridian Home Loans</t>
        </is>
      </c>
      <c r="M968" s="7" t="inlineStr">
        <is>
          <t>Pier Asset Mgmt</t>
        </is>
      </c>
    </row>
    <row r="969">
      <c r="A969" s="5" t="inlineStr">
        <is>
          <t>L100964</t>
        </is>
      </c>
      <c r="B969" s="16" t="n">
        <v>239794.18</v>
      </c>
      <c r="C969" s="16" t="n">
        <v>238831.53</v>
      </c>
      <c r="D969" s="26" t="n">
        <v>8.097</v>
      </c>
      <c r="E969" s="6" t="n">
        <v>717</v>
      </c>
      <c r="F969" s="11" t="n">
        <v>66.2</v>
      </c>
      <c r="G969" s="11" t="n">
        <v>47.7</v>
      </c>
      <c r="H969" s="6" t="n">
        <v>6</v>
      </c>
      <c r="I969" s="6" t="n">
        <v>354</v>
      </c>
      <c r="J969" s="5" t="inlineStr">
        <is>
          <t>TX</t>
        </is>
      </c>
      <c r="K969" s="5" t="inlineStr">
        <is>
          <t>SFR</t>
        </is>
      </c>
      <c r="L969" s="5" t="inlineStr">
        <is>
          <t>Highline Capital</t>
        </is>
      </c>
      <c r="M969" s="5" t="inlineStr">
        <is>
          <t>Pier Asset Mgmt</t>
        </is>
      </c>
    </row>
    <row r="970">
      <c r="A970" s="7" t="inlineStr">
        <is>
          <t>L100965</t>
        </is>
      </c>
      <c r="B970" s="8" t="n">
        <v>150593.65</v>
      </c>
      <c r="C970" s="8" t="n">
        <v>147600.07</v>
      </c>
      <c r="D970" s="27" t="n">
        <v>7.304</v>
      </c>
      <c r="E970" s="10" t="n">
        <v>627</v>
      </c>
      <c r="F970" s="12" t="n">
        <v>75.5</v>
      </c>
      <c r="G970" s="12" t="n">
        <v>38.4</v>
      </c>
      <c r="H970" s="10" t="n">
        <v>24</v>
      </c>
      <c r="I970" s="10" t="n">
        <v>336</v>
      </c>
      <c r="J970" s="7" t="inlineStr">
        <is>
          <t>NC</t>
        </is>
      </c>
      <c r="K970" s="7" t="inlineStr">
        <is>
          <t>SFR</t>
        </is>
      </c>
      <c r="L970" s="7" t="inlineStr">
        <is>
          <t>Apex Funding</t>
        </is>
      </c>
      <c r="M970" s="7" t="inlineStr">
        <is>
          <t>Northgate Servicing</t>
        </is>
      </c>
    </row>
    <row r="971">
      <c r="A971" s="5" t="inlineStr">
        <is>
          <t>L100966</t>
        </is>
      </c>
      <c r="B971" s="16" t="n">
        <v>222005.8</v>
      </c>
      <c r="C971" s="16" t="n">
        <v>214743.36</v>
      </c>
      <c r="D971" s="26" t="n">
        <v>6.098</v>
      </c>
      <c r="E971" s="6" t="n">
        <v>793</v>
      </c>
      <c r="F971" s="11" t="n">
        <v>69.09999999999999</v>
      </c>
      <c r="G971" s="11" t="n">
        <v>47.6</v>
      </c>
      <c r="H971" s="6" t="n">
        <v>31</v>
      </c>
      <c r="I971" s="6" t="n">
        <v>329</v>
      </c>
      <c r="J971" s="5" t="inlineStr">
        <is>
          <t>WA</t>
        </is>
      </c>
      <c r="K971" s="5" t="inlineStr">
        <is>
          <t>SFR</t>
        </is>
      </c>
      <c r="L971" s="5" t="inlineStr">
        <is>
          <t>Highline Capital</t>
        </is>
      </c>
      <c r="M971" s="5" t="inlineStr">
        <is>
          <t>Summit Loan Servicing</t>
        </is>
      </c>
    </row>
    <row r="972">
      <c r="A972" s="7" t="inlineStr">
        <is>
          <t>L100967</t>
        </is>
      </c>
      <c r="B972" s="8" t="n">
        <v>187256.15</v>
      </c>
      <c r="C972" s="8" t="n">
        <v>179876.65</v>
      </c>
      <c r="D972" s="27" t="n">
        <v>6.134</v>
      </c>
      <c r="E972" s="10" t="n">
        <v>678</v>
      </c>
      <c r="F972" s="12" t="n">
        <v>60.7</v>
      </c>
      <c r="G972" s="12" t="n">
        <v>26.1</v>
      </c>
      <c r="H972" s="10" t="n">
        <v>37</v>
      </c>
      <c r="I972" s="10" t="n">
        <v>323</v>
      </c>
      <c r="J972" s="7" t="inlineStr">
        <is>
          <t>FL</t>
        </is>
      </c>
      <c r="K972" s="7" t="inlineStr">
        <is>
          <t>SFR</t>
        </is>
      </c>
      <c r="L972" s="7" t="inlineStr">
        <is>
          <t>Coastal Mortgage Co</t>
        </is>
      </c>
      <c r="M972" s="7" t="inlineStr">
        <is>
          <t>Northgate Servicing</t>
        </is>
      </c>
    </row>
    <row r="973">
      <c r="A973" s="5" t="inlineStr">
        <is>
          <t>L100968</t>
        </is>
      </c>
      <c r="B973" s="16" t="n">
        <v>335549.65</v>
      </c>
      <c r="C973" s="16" t="n">
        <v>335259.27</v>
      </c>
      <c r="D973" s="26" t="n">
        <v>6.724</v>
      </c>
      <c r="E973" s="6" t="n">
        <v>820</v>
      </c>
      <c r="F973" s="11" t="n">
        <v>70</v>
      </c>
      <c r="G973" s="11" t="n">
        <v>55</v>
      </c>
      <c r="H973" s="6" t="n">
        <v>1</v>
      </c>
      <c r="I973" s="6" t="n">
        <v>359</v>
      </c>
      <c r="J973" s="5" t="inlineStr">
        <is>
          <t>FL</t>
        </is>
      </c>
      <c r="K973" s="5" t="inlineStr">
        <is>
          <t>SFR</t>
        </is>
      </c>
      <c r="L973" s="5" t="inlineStr">
        <is>
          <t>Meridian Home Loans</t>
        </is>
      </c>
      <c r="M973" s="5" t="inlineStr">
        <is>
          <t>Pier Asset Mgmt</t>
        </is>
      </c>
    </row>
    <row r="974">
      <c r="A974" s="7" t="inlineStr">
        <is>
          <t>L100969</t>
        </is>
      </c>
      <c r="B974" s="8" t="n">
        <v>245760.84</v>
      </c>
      <c r="C974" s="8" t="n">
        <v>245485.87</v>
      </c>
      <c r="D974" s="27" t="n">
        <v>5.383</v>
      </c>
      <c r="E974" s="10" t="n">
        <v>713</v>
      </c>
      <c r="F974" s="12" t="n">
        <v>78.09999999999999</v>
      </c>
      <c r="G974" s="12" t="n">
        <v>44.7</v>
      </c>
      <c r="H974" s="10" t="n">
        <v>1</v>
      </c>
      <c r="I974" s="10" t="n">
        <v>359</v>
      </c>
      <c r="J974" s="7" t="inlineStr">
        <is>
          <t>NC</t>
        </is>
      </c>
      <c r="K974" s="7" t="inlineStr">
        <is>
          <t>Condo</t>
        </is>
      </c>
      <c r="L974" s="7" t="inlineStr">
        <is>
          <t>Apex Funding</t>
        </is>
      </c>
      <c r="M974" s="7" t="inlineStr">
        <is>
          <t>Summit Loan Servicing</t>
        </is>
      </c>
    </row>
    <row r="975">
      <c r="A975" s="5" t="inlineStr">
        <is>
          <t>L100970</t>
        </is>
      </c>
      <c r="B975" s="16" t="n">
        <v>219920.52</v>
      </c>
      <c r="C975" s="16" t="n">
        <v>216091.9</v>
      </c>
      <c r="D975" s="26" t="n">
        <v>6.69</v>
      </c>
      <c r="E975" s="6" t="n">
        <v>772</v>
      </c>
      <c r="F975" s="11" t="n">
        <v>71.90000000000001</v>
      </c>
      <c r="G975" s="11" t="n">
        <v>37.7</v>
      </c>
      <c r="H975" s="6" t="n">
        <v>19</v>
      </c>
      <c r="I975" s="6" t="n">
        <v>341</v>
      </c>
      <c r="J975" s="5" t="inlineStr">
        <is>
          <t>TX</t>
        </is>
      </c>
      <c r="K975" s="5" t="inlineStr">
        <is>
          <t>SFR</t>
        </is>
      </c>
      <c r="L975" s="5" t="inlineStr">
        <is>
          <t>Meridian Home Loans</t>
        </is>
      </c>
      <c r="M975" s="5" t="inlineStr">
        <is>
          <t>Pier Asset Mgmt</t>
        </is>
      </c>
    </row>
    <row r="976">
      <c r="A976" s="7" t="inlineStr">
        <is>
          <t>L100971</t>
        </is>
      </c>
      <c r="B976" s="8" t="n">
        <v>233943.83</v>
      </c>
      <c r="C976" s="8" t="n">
        <v>226206.23</v>
      </c>
      <c r="D976" s="27" t="n">
        <v>5.202</v>
      </c>
      <c r="E976" s="10" t="n">
        <v>712</v>
      </c>
      <c r="F976" s="12" t="n">
        <v>57</v>
      </c>
      <c r="G976" s="12" t="n">
        <v>47.4</v>
      </c>
      <c r="H976" s="10" t="n">
        <v>27</v>
      </c>
      <c r="I976" s="10" t="n">
        <v>333</v>
      </c>
      <c r="J976" s="7" t="inlineStr">
        <is>
          <t>CA</t>
        </is>
      </c>
      <c r="K976" s="7" t="inlineStr">
        <is>
          <t>Condo</t>
        </is>
      </c>
      <c r="L976" s="7" t="inlineStr">
        <is>
          <t>Coastal Mortgage Co</t>
        </is>
      </c>
      <c r="M976" s="7" t="inlineStr">
        <is>
          <t>Northgate Servicing</t>
        </is>
      </c>
    </row>
    <row r="977">
      <c r="A977" s="5" t="inlineStr">
        <is>
          <t>L100972</t>
        </is>
      </c>
      <c r="B977" s="16" t="n">
        <v>262522.67</v>
      </c>
      <c r="C977" s="16" t="n">
        <v>262277.72</v>
      </c>
      <c r="D977" s="26" t="n">
        <v>6.337</v>
      </c>
      <c r="E977" s="6" t="n">
        <v>713</v>
      </c>
      <c r="F977" s="11" t="n">
        <v>85.90000000000001</v>
      </c>
      <c r="G977" s="11" t="n">
        <v>26.7</v>
      </c>
      <c r="H977" s="6" t="n">
        <v>1</v>
      </c>
      <c r="I977" s="6" t="n">
        <v>359</v>
      </c>
      <c r="J977" s="5" t="inlineStr">
        <is>
          <t>NC</t>
        </is>
      </c>
      <c r="K977" s="5" t="inlineStr">
        <is>
          <t>SFR</t>
        </is>
      </c>
      <c r="L977" s="5" t="inlineStr">
        <is>
          <t>Coastal Mortgage Co</t>
        </is>
      </c>
      <c r="M977" s="5" t="inlineStr">
        <is>
          <t>Pier Asset Mgmt</t>
        </is>
      </c>
    </row>
    <row r="978">
      <c r="A978" s="7" t="inlineStr">
        <is>
          <t>L100973</t>
        </is>
      </c>
      <c r="B978" s="8" t="n">
        <v>301307</v>
      </c>
      <c r="C978" s="8" t="n">
        <v>298197.93</v>
      </c>
      <c r="D978" s="27" t="n">
        <v>5.348</v>
      </c>
      <c r="E978" s="10" t="n">
        <v>683</v>
      </c>
      <c r="F978" s="12" t="n">
        <v>41.1</v>
      </c>
      <c r="G978" s="12" t="n">
        <v>33.7</v>
      </c>
      <c r="H978" s="10" t="n">
        <v>9</v>
      </c>
      <c r="I978" s="10" t="n">
        <v>351</v>
      </c>
      <c r="J978" s="7" t="inlineStr">
        <is>
          <t>GA</t>
        </is>
      </c>
      <c r="K978" s="7" t="inlineStr">
        <is>
          <t>2-4 Unit</t>
        </is>
      </c>
      <c r="L978" s="7" t="inlineStr">
        <is>
          <t>Meridian Home Loans</t>
        </is>
      </c>
      <c r="M978" s="7" t="inlineStr">
        <is>
          <t>Pier Asset Mgmt</t>
        </is>
      </c>
    </row>
    <row r="979">
      <c r="A979" s="5" t="inlineStr">
        <is>
          <t>L100974</t>
        </is>
      </c>
      <c r="B979" s="16" t="n">
        <v>171116.64</v>
      </c>
      <c r="C979" s="16" t="n">
        <v>167127.73</v>
      </c>
      <c r="D979" s="26" t="n">
        <v>5.394</v>
      </c>
      <c r="E979" s="6" t="n">
        <v>722</v>
      </c>
      <c r="F979" s="11" t="n">
        <v>68.59999999999999</v>
      </c>
      <c r="G979" s="11" t="n">
        <v>47.6</v>
      </c>
      <c r="H979" s="6" t="n">
        <v>20</v>
      </c>
      <c r="I979" s="6" t="n">
        <v>340</v>
      </c>
      <c r="J979" s="5" t="inlineStr">
        <is>
          <t>CA</t>
        </is>
      </c>
      <c r="K979" s="5" t="inlineStr">
        <is>
          <t>SFR</t>
        </is>
      </c>
      <c r="L979" s="5" t="inlineStr">
        <is>
          <t>Meridian Home Loans</t>
        </is>
      </c>
      <c r="M979" s="5" t="inlineStr">
        <is>
          <t>Summit Loan Servicing</t>
        </is>
      </c>
    </row>
    <row r="980">
      <c r="A980" s="7" t="inlineStr">
        <is>
          <t>L100975</t>
        </is>
      </c>
      <c r="B980" s="8" t="n">
        <v>168626.98</v>
      </c>
      <c r="C980" s="8" t="n">
        <v>161430.26</v>
      </c>
      <c r="D980" s="27" t="n">
        <v>7.881</v>
      </c>
      <c r="E980" s="10" t="n">
        <v>732</v>
      </c>
      <c r="F980" s="12" t="n">
        <v>66.59999999999999</v>
      </c>
      <c r="G980" s="12" t="n">
        <v>21.1</v>
      </c>
      <c r="H980" s="10" t="n">
        <v>14</v>
      </c>
      <c r="I980" s="10" t="n">
        <v>166</v>
      </c>
      <c r="J980" s="7" t="inlineStr">
        <is>
          <t>FL</t>
        </is>
      </c>
      <c r="K980" s="7" t="inlineStr">
        <is>
          <t>Condo</t>
        </is>
      </c>
      <c r="L980" s="7" t="inlineStr">
        <is>
          <t>Apex Funding</t>
        </is>
      </c>
      <c r="M980" s="7" t="inlineStr">
        <is>
          <t>Summit Loan Servicing</t>
        </is>
      </c>
    </row>
    <row r="981">
      <c r="A981" s="5" t="inlineStr">
        <is>
          <t>L100976</t>
        </is>
      </c>
      <c r="B981" s="16" t="n">
        <v>357409.59</v>
      </c>
      <c r="C981" s="16" t="n">
        <v>345280.84</v>
      </c>
      <c r="D981" s="26" t="n">
        <v>6.453</v>
      </c>
      <c r="E981" s="6" t="n">
        <v>672</v>
      </c>
      <c r="F981" s="11" t="n">
        <v>75.8</v>
      </c>
      <c r="G981" s="11" t="n">
        <v>40.5</v>
      </c>
      <c r="H981" s="6" t="n">
        <v>34</v>
      </c>
      <c r="I981" s="6" t="n">
        <v>326</v>
      </c>
      <c r="J981" s="5" t="inlineStr">
        <is>
          <t>TX</t>
        </is>
      </c>
      <c r="K981" s="5" t="inlineStr">
        <is>
          <t>Condo</t>
        </is>
      </c>
      <c r="L981" s="5" t="inlineStr">
        <is>
          <t>Highline Capital</t>
        </is>
      </c>
      <c r="M981" s="5" t="inlineStr">
        <is>
          <t>Pier Asset Mgmt</t>
        </is>
      </c>
    </row>
    <row r="982">
      <c r="A982" s="7" t="inlineStr">
        <is>
          <t>L100977</t>
        </is>
      </c>
      <c r="B982" s="8" t="n">
        <v>210172.12</v>
      </c>
      <c r="C982" s="8" t="n">
        <v>208793.9</v>
      </c>
      <c r="D982" s="27" t="n">
        <v>6.587</v>
      </c>
      <c r="E982" s="10" t="n">
        <v>708</v>
      </c>
      <c r="F982" s="12" t="n">
        <v>80.7</v>
      </c>
      <c r="G982" s="12" t="n">
        <v>40.3</v>
      </c>
      <c r="H982" s="10" t="n">
        <v>2</v>
      </c>
      <c r="I982" s="10" t="n">
        <v>178</v>
      </c>
      <c r="J982" s="7" t="inlineStr">
        <is>
          <t>NC</t>
        </is>
      </c>
      <c r="K982" s="7" t="inlineStr">
        <is>
          <t>SFR</t>
        </is>
      </c>
      <c r="L982" s="7" t="inlineStr">
        <is>
          <t>Coastal Mortgage Co</t>
        </is>
      </c>
      <c r="M982" s="7" t="inlineStr">
        <is>
          <t>Pier Asset Mgmt</t>
        </is>
      </c>
    </row>
    <row r="983">
      <c r="A983" s="5" t="inlineStr">
        <is>
          <t>L100978</t>
        </is>
      </c>
      <c r="B983" s="16" t="n">
        <v>147872.44</v>
      </c>
      <c r="C983" s="16" t="n">
        <v>139162.45</v>
      </c>
      <c r="D983" s="26" t="n">
        <v>4.59</v>
      </c>
      <c r="E983" s="6" t="n">
        <v>681</v>
      </c>
      <c r="F983" s="11" t="n">
        <v>87.5</v>
      </c>
      <c r="G983" s="11" t="n">
        <v>51.8</v>
      </c>
      <c r="H983" s="6" t="n">
        <v>42</v>
      </c>
      <c r="I983" s="6" t="n">
        <v>318</v>
      </c>
      <c r="J983" s="5" t="inlineStr">
        <is>
          <t>NC</t>
        </is>
      </c>
      <c r="K983" s="5" t="inlineStr">
        <is>
          <t>SFR</t>
        </is>
      </c>
      <c r="L983" s="5" t="inlineStr">
        <is>
          <t>Coastal Mortgage Co</t>
        </is>
      </c>
      <c r="M983" s="5" t="inlineStr">
        <is>
          <t>Northgate Servicing</t>
        </is>
      </c>
    </row>
    <row r="984">
      <c r="A984" s="7" t="inlineStr">
        <is>
          <t>L100979</t>
        </is>
      </c>
      <c r="B984" s="8" t="n">
        <v>283604.08</v>
      </c>
      <c r="C984" s="8" t="n">
        <v>281245.57</v>
      </c>
      <c r="D984" s="27" t="n">
        <v>5.863</v>
      </c>
      <c r="E984" s="10" t="n">
        <v>820</v>
      </c>
      <c r="F984" s="12" t="n">
        <v>65.5</v>
      </c>
      <c r="G984" s="12" t="n">
        <v>23.3</v>
      </c>
      <c r="H984" s="10" t="n">
        <v>8</v>
      </c>
      <c r="I984" s="10" t="n">
        <v>352</v>
      </c>
      <c r="J984" s="7" t="inlineStr">
        <is>
          <t>AZ</t>
        </is>
      </c>
      <c r="K984" s="7" t="inlineStr">
        <is>
          <t>Condo</t>
        </is>
      </c>
      <c r="L984" s="7" t="inlineStr">
        <is>
          <t>Meridian Home Loans</t>
        </is>
      </c>
      <c r="M984" s="7" t="inlineStr">
        <is>
          <t>Summit Loan Servicing</t>
        </is>
      </c>
    </row>
    <row r="985">
      <c r="A985" s="5" t="inlineStr">
        <is>
          <t>L100980</t>
        </is>
      </c>
      <c r="B985" s="16" t="n">
        <v>285552</v>
      </c>
      <c r="C985" s="16" t="n">
        <v>280154.23</v>
      </c>
      <c r="D985" s="26" t="n">
        <v>6.815</v>
      </c>
      <c r="E985" s="6" t="n">
        <v>710</v>
      </c>
      <c r="F985" s="11" t="n">
        <v>81</v>
      </c>
      <c r="G985" s="11" t="n">
        <v>48.9</v>
      </c>
      <c r="H985" s="6" t="n">
        <v>21</v>
      </c>
      <c r="I985" s="6" t="n">
        <v>339</v>
      </c>
      <c r="J985" s="5" t="inlineStr">
        <is>
          <t>CA</t>
        </is>
      </c>
      <c r="K985" s="5" t="inlineStr">
        <is>
          <t>SFR</t>
        </is>
      </c>
      <c r="L985" s="5" t="inlineStr">
        <is>
          <t>Apex Funding</t>
        </is>
      </c>
      <c r="M985" s="5" t="inlineStr">
        <is>
          <t>Summit Loan Servicing</t>
        </is>
      </c>
    </row>
    <row r="986">
      <c r="A986" s="7" t="inlineStr">
        <is>
          <t>L100981</t>
        </is>
      </c>
      <c r="B986" s="8" t="n">
        <v>142094.79</v>
      </c>
      <c r="C986" s="8" t="n">
        <v>117239.42</v>
      </c>
      <c r="D986" s="27" t="n">
        <v>6.575</v>
      </c>
      <c r="E986" s="10" t="n">
        <v>800</v>
      </c>
      <c r="F986" s="12" t="n">
        <v>76.3</v>
      </c>
      <c r="G986" s="12" t="n">
        <v>31.5</v>
      </c>
      <c r="H986" s="10" t="n">
        <v>47</v>
      </c>
      <c r="I986" s="10" t="n">
        <v>133</v>
      </c>
      <c r="J986" s="7" t="inlineStr">
        <is>
          <t>OH</t>
        </is>
      </c>
      <c r="K986" s="7" t="inlineStr">
        <is>
          <t>SFR</t>
        </is>
      </c>
      <c r="L986" s="7" t="inlineStr">
        <is>
          <t>Highline Capital</t>
        </is>
      </c>
      <c r="M986" s="7" t="inlineStr">
        <is>
          <t>Summit Loan Servicing</t>
        </is>
      </c>
    </row>
    <row r="987">
      <c r="A987" s="5" t="inlineStr">
        <is>
          <t>L100982</t>
        </is>
      </c>
      <c r="B987" s="16" t="n">
        <v>263107.67</v>
      </c>
      <c r="C987" s="16" t="n">
        <v>251273.77</v>
      </c>
      <c r="D987" s="26" t="n">
        <v>4.461</v>
      </c>
      <c r="E987" s="6" t="n">
        <v>704</v>
      </c>
      <c r="F987" s="11" t="n">
        <v>53.5</v>
      </c>
      <c r="G987" s="11" t="n">
        <v>32.4</v>
      </c>
      <c r="H987" s="6" t="n">
        <v>32</v>
      </c>
      <c r="I987" s="6" t="n">
        <v>328</v>
      </c>
      <c r="J987" s="5" t="inlineStr">
        <is>
          <t>FL</t>
        </is>
      </c>
      <c r="K987" s="5" t="inlineStr">
        <is>
          <t>SFR</t>
        </is>
      </c>
      <c r="L987" s="5" t="inlineStr">
        <is>
          <t>Apex Funding</t>
        </is>
      </c>
      <c r="M987" s="5" t="inlineStr">
        <is>
          <t>Northgate Servicing</t>
        </is>
      </c>
    </row>
    <row r="988">
      <c r="A988" s="7" t="inlineStr">
        <is>
          <t>L100983</t>
        </is>
      </c>
      <c r="B988" s="8" t="n">
        <v>314096.04</v>
      </c>
      <c r="C988" s="8" t="n">
        <v>299170.32</v>
      </c>
      <c r="D988" s="27" t="n">
        <v>6.586</v>
      </c>
      <c r="E988" s="10" t="n">
        <v>729</v>
      </c>
      <c r="F988" s="12" t="n">
        <v>96.8</v>
      </c>
      <c r="G988" s="12" t="n">
        <v>26.2</v>
      </c>
      <c r="H988" s="10" t="n">
        <v>47</v>
      </c>
      <c r="I988" s="10" t="n">
        <v>313</v>
      </c>
      <c r="J988" s="7" t="inlineStr">
        <is>
          <t>WA</t>
        </is>
      </c>
      <c r="K988" s="7" t="inlineStr">
        <is>
          <t>Condo</t>
        </is>
      </c>
      <c r="L988" s="7" t="inlineStr">
        <is>
          <t>Coastal Mortgage Co</t>
        </is>
      </c>
      <c r="M988" s="7" t="inlineStr">
        <is>
          <t>Pier Asset Mgmt</t>
        </is>
      </c>
    </row>
    <row r="989">
      <c r="A989" s="5" t="inlineStr">
        <is>
          <t>L100984</t>
        </is>
      </c>
      <c r="B989" s="16" t="n">
        <v>276795.78</v>
      </c>
      <c r="C989" s="16" t="n">
        <v>276556.53</v>
      </c>
      <c r="D989" s="26" t="n">
        <v>6.73</v>
      </c>
      <c r="E989" s="6" t="n">
        <v>642</v>
      </c>
      <c r="F989" s="11" t="n">
        <v>56.7</v>
      </c>
      <c r="G989" s="11" t="n">
        <v>27.3</v>
      </c>
      <c r="H989" s="6" t="n">
        <v>1</v>
      </c>
      <c r="I989" s="6" t="n">
        <v>359</v>
      </c>
      <c r="J989" s="5" t="inlineStr">
        <is>
          <t>OH</t>
        </is>
      </c>
      <c r="K989" s="5" t="inlineStr">
        <is>
          <t>SFR</t>
        </is>
      </c>
      <c r="L989" s="5" t="inlineStr">
        <is>
          <t>Apex Funding</t>
        </is>
      </c>
      <c r="M989" s="5" t="inlineStr">
        <is>
          <t>Summit Loan Servicing</t>
        </is>
      </c>
    </row>
    <row r="990">
      <c r="A990" s="7" t="inlineStr">
        <is>
          <t>L100985</t>
        </is>
      </c>
      <c r="B990" s="8" t="n">
        <v>302910.76</v>
      </c>
      <c r="C990" s="8" t="n">
        <v>294510.49</v>
      </c>
      <c r="D990" s="27" t="n">
        <v>7.555</v>
      </c>
      <c r="E990" s="10" t="n">
        <v>690</v>
      </c>
      <c r="F990" s="12" t="n">
        <v>79</v>
      </c>
      <c r="G990" s="12" t="n">
        <v>39.2</v>
      </c>
      <c r="H990" s="10" t="n">
        <v>34</v>
      </c>
      <c r="I990" s="10" t="n">
        <v>326</v>
      </c>
      <c r="J990" s="7" t="inlineStr">
        <is>
          <t>IL</t>
        </is>
      </c>
      <c r="K990" s="7" t="inlineStr">
        <is>
          <t>SFR</t>
        </is>
      </c>
      <c r="L990" s="7" t="inlineStr">
        <is>
          <t>Highline Capital</t>
        </is>
      </c>
      <c r="M990" s="7" t="inlineStr">
        <is>
          <t>Summit Loan Servicing</t>
        </is>
      </c>
    </row>
    <row r="991">
      <c r="A991" s="5" t="inlineStr">
        <is>
          <t>L100986</t>
        </is>
      </c>
      <c r="B991" s="16" t="n">
        <v>148524.59</v>
      </c>
      <c r="C991" s="16" t="n">
        <v>147906.87</v>
      </c>
      <c r="D991" s="26" t="n">
        <v>5.81</v>
      </c>
      <c r="E991" s="6" t="n">
        <v>727</v>
      </c>
      <c r="F991" s="11" t="n">
        <v>78.7</v>
      </c>
      <c r="G991" s="11" t="n">
        <v>27.1</v>
      </c>
      <c r="H991" s="6" t="n">
        <v>4</v>
      </c>
      <c r="I991" s="6" t="n">
        <v>356</v>
      </c>
      <c r="J991" s="5" t="inlineStr">
        <is>
          <t>AZ</t>
        </is>
      </c>
      <c r="K991" s="5" t="inlineStr">
        <is>
          <t>SFR</t>
        </is>
      </c>
      <c r="L991" s="5" t="inlineStr">
        <is>
          <t>Highline Capital</t>
        </is>
      </c>
      <c r="M991" s="5" t="inlineStr">
        <is>
          <t>Summit Loan Servicing</t>
        </is>
      </c>
    </row>
    <row r="992">
      <c r="A992" s="7" t="inlineStr">
        <is>
          <t>L100987</t>
        </is>
      </c>
      <c r="B992" s="8" t="n">
        <v>272628.15</v>
      </c>
      <c r="C992" s="8" t="n">
        <v>261429.72</v>
      </c>
      <c r="D992" s="27" t="n">
        <v>4.382</v>
      </c>
      <c r="E992" s="10" t="n">
        <v>802</v>
      </c>
      <c r="F992" s="12" t="n">
        <v>77.3</v>
      </c>
      <c r="G992" s="12" t="n">
        <v>41.9</v>
      </c>
      <c r="H992" s="10" t="n">
        <v>29</v>
      </c>
      <c r="I992" s="10" t="n">
        <v>331</v>
      </c>
      <c r="J992" s="7" t="inlineStr">
        <is>
          <t>NC</t>
        </is>
      </c>
      <c r="K992" s="7" t="inlineStr">
        <is>
          <t>SFR</t>
        </is>
      </c>
      <c r="L992" s="7" t="inlineStr">
        <is>
          <t>Meridian Home Loans</t>
        </is>
      </c>
      <c r="M992" s="7" t="inlineStr">
        <is>
          <t>Pier Asset Mgmt</t>
        </is>
      </c>
    </row>
    <row r="993">
      <c r="A993" s="5" t="inlineStr">
        <is>
          <t>L100988</t>
        </is>
      </c>
      <c r="B993" s="16" t="n">
        <v>218399.9</v>
      </c>
      <c r="C993" s="16" t="n">
        <v>214442.91</v>
      </c>
      <c r="D993" s="26" t="n">
        <v>5.503</v>
      </c>
      <c r="E993" s="6" t="n">
        <v>727</v>
      </c>
      <c r="F993" s="11" t="n">
        <v>68.09999999999999</v>
      </c>
      <c r="G993" s="11" t="n">
        <v>30.7</v>
      </c>
      <c r="H993" s="6" t="n">
        <v>16</v>
      </c>
      <c r="I993" s="6" t="n">
        <v>344</v>
      </c>
      <c r="J993" s="5" t="inlineStr">
        <is>
          <t>AZ</t>
        </is>
      </c>
      <c r="K993" s="5" t="inlineStr">
        <is>
          <t>Condo</t>
        </is>
      </c>
      <c r="L993" s="5" t="inlineStr">
        <is>
          <t>Coastal Mortgage Co</t>
        </is>
      </c>
      <c r="M993" s="5" t="inlineStr">
        <is>
          <t>Northgate Servicing</t>
        </is>
      </c>
    </row>
    <row r="994">
      <c r="A994" s="7" t="inlineStr">
        <is>
          <t>L100989</t>
        </is>
      </c>
      <c r="B994" s="8" t="n">
        <v>205052.94</v>
      </c>
      <c r="C994" s="8" t="n">
        <v>195888.87</v>
      </c>
      <c r="D994" s="27" t="n">
        <v>5.413</v>
      </c>
      <c r="E994" s="10" t="n">
        <v>791</v>
      </c>
      <c r="F994" s="12" t="n">
        <v>83.90000000000001</v>
      </c>
      <c r="G994" s="12" t="n">
        <v>26.3</v>
      </c>
      <c r="H994" s="10" t="n">
        <v>37</v>
      </c>
      <c r="I994" s="10" t="n">
        <v>323</v>
      </c>
      <c r="J994" s="7" t="inlineStr">
        <is>
          <t>CA</t>
        </is>
      </c>
      <c r="K994" s="7" t="inlineStr">
        <is>
          <t>SFR</t>
        </is>
      </c>
      <c r="L994" s="7" t="inlineStr">
        <is>
          <t>Highline Capital</t>
        </is>
      </c>
      <c r="M994" s="7" t="inlineStr">
        <is>
          <t>Pier Asset Mgmt</t>
        </is>
      </c>
    </row>
    <row r="995">
      <c r="A995" s="5" t="inlineStr">
        <is>
          <t>L100990</t>
        </is>
      </c>
      <c r="B995" s="16" t="n">
        <v>329290.12</v>
      </c>
      <c r="C995" s="16" t="n">
        <v>322998.88</v>
      </c>
      <c r="D995" s="26" t="n">
        <v>7.063</v>
      </c>
      <c r="E995" s="6" t="n">
        <v>750</v>
      </c>
      <c r="F995" s="11" t="n">
        <v>55.3</v>
      </c>
      <c r="G995" s="11" t="n">
        <v>31.8</v>
      </c>
      <c r="H995" s="6" t="n">
        <v>6</v>
      </c>
      <c r="I995" s="6" t="n">
        <v>174</v>
      </c>
      <c r="J995" s="5" t="inlineStr">
        <is>
          <t>CA</t>
        </is>
      </c>
      <c r="K995" s="5" t="inlineStr">
        <is>
          <t>SFR</t>
        </is>
      </c>
      <c r="L995" s="5" t="inlineStr">
        <is>
          <t>Apex Funding</t>
        </is>
      </c>
      <c r="M995" s="5" t="inlineStr">
        <is>
          <t>Summit Loan Servicing</t>
        </is>
      </c>
    </row>
    <row r="996">
      <c r="A996" s="7" t="inlineStr">
        <is>
          <t>L100991</t>
        </is>
      </c>
      <c r="B996" s="8" t="n">
        <v>407479.57</v>
      </c>
      <c r="C996" s="8" t="n">
        <v>380187.56</v>
      </c>
      <c r="D996" s="27" t="n">
        <v>3.955</v>
      </c>
      <c r="E996" s="10" t="n">
        <v>805</v>
      </c>
      <c r="F996" s="12" t="n">
        <v>73.2</v>
      </c>
      <c r="G996" s="12" t="n">
        <v>38.7</v>
      </c>
      <c r="H996" s="10" t="n">
        <v>43</v>
      </c>
      <c r="I996" s="10" t="n">
        <v>317</v>
      </c>
      <c r="J996" s="7" t="inlineStr">
        <is>
          <t>WA</t>
        </is>
      </c>
      <c r="K996" s="7" t="inlineStr">
        <is>
          <t>SFR</t>
        </is>
      </c>
      <c r="L996" s="7" t="inlineStr">
        <is>
          <t>Highline Capital</t>
        </is>
      </c>
      <c r="M996" s="7" t="inlineStr">
        <is>
          <t>Northgate Servicing</t>
        </is>
      </c>
    </row>
    <row r="997">
      <c r="A997" s="5" t="inlineStr">
        <is>
          <t>L100992</t>
        </is>
      </c>
      <c r="B997" s="16" t="n">
        <v>454989.45</v>
      </c>
      <c r="C997" s="16" t="n">
        <v>416943.98</v>
      </c>
      <c r="D997" s="26" t="n">
        <v>5.996</v>
      </c>
      <c r="E997" s="6" t="n">
        <v>712</v>
      </c>
      <c r="F997" s="11" t="n">
        <v>67.2</v>
      </c>
      <c r="G997" s="11" t="n">
        <v>33.8</v>
      </c>
      <c r="H997" s="6" t="n">
        <v>23</v>
      </c>
      <c r="I997" s="6" t="n">
        <v>157</v>
      </c>
      <c r="J997" s="5" t="inlineStr">
        <is>
          <t>AZ</t>
        </is>
      </c>
      <c r="K997" s="5" t="inlineStr">
        <is>
          <t>SFR</t>
        </is>
      </c>
      <c r="L997" s="5" t="inlineStr">
        <is>
          <t>Highline Capital</t>
        </is>
      </c>
      <c r="M997" s="5" t="inlineStr">
        <is>
          <t>Northgate Servicing</t>
        </is>
      </c>
    </row>
    <row r="998">
      <c r="A998" s="7" t="inlineStr">
        <is>
          <t>L100993</t>
        </is>
      </c>
      <c r="B998" s="8" t="n">
        <v>384686.02</v>
      </c>
      <c r="C998" s="8" t="n">
        <v>377250.65</v>
      </c>
      <c r="D998" s="27" t="n">
        <v>7.683</v>
      </c>
      <c r="E998" s="10" t="n">
        <v>820</v>
      </c>
      <c r="F998" s="12" t="n">
        <v>65.90000000000001</v>
      </c>
      <c r="G998" s="12" t="n">
        <v>36.3</v>
      </c>
      <c r="H998" s="10" t="n">
        <v>25</v>
      </c>
      <c r="I998" s="10" t="n">
        <v>335</v>
      </c>
      <c r="J998" s="7" t="inlineStr">
        <is>
          <t>NC</t>
        </is>
      </c>
      <c r="K998" s="7" t="inlineStr">
        <is>
          <t>Condo</t>
        </is>
      </c>
      <c r="L998" s="7" t="inlineStr">
        <is>
          <t>Meridian Home Loans</t>
        </is>
      </c>
      <c r="M998" s="7" t="inlineStr">
        <is>
          <t>Northgate Servicing</t>
        </is>
      </c>
    </row>
    <row r="999">
      <c r="A999" s="5" t="inlineStr">
        <is>
          <t>L100994</t>
        </is>
      </c>
      <c r="B999" s="16" t="n">
        <v>233653.15</v>
      </c>
      <c r="C999" s="16" t="n">
        <v>227423.49</v>
      </c>
      <c r="D999" s="26" t="n">
        <v>6.406</v>
      </c>
      <c r="E999" s="6" t="n">
        <v>688</v>
      </c>
      <c r="F999" s="11" t="n">
        <v>79.09999999999999</v>
      </c>
      <c r="G999" s="11" t="n">
        <v>41.6</v>
      </c>
      <c r="H999" s="6" t="n">
        <v>27</v>
      </c>
      <c r="I999" s="6" t="n">
        <v>333</v>
      </c>
      <c r="J999" s="5" t="inlineStr">
        <is>
          <t>NY</t>
        </is>
      </c>
      <c r="K999" s="5" t="inlineStr">
        <is>
          <t>SFR</t>
        </is>
      </c>
      <c r="L999" s="5" t="inlineStr">
        <is>
          <t>Apex Funding</t>
        </is>
      </c>
      <c r="M999" s="5" t="inlineStr">
        <is>
          <t>Northgate Servicing</t>
        </is>
      </c>
    </row>
    <row r="1000">
      <c r="A1000" s="7" t="inlineStr">
        <is>
          <t>L100995</t>
        </is>
      </c>
      <c r="B1000" s="8" t="n">
        <v>274704.72</v>
      </c>
      <c r="C1000" s="8" t="n">
        <v>274271.15</v>
      </c>
      <c r="D1000" s="27" t="n">
        <v>7.207</v>
      </c>
      <c r="E1000" s="10" t="n">
        <v>673</v>
      </c>
      <c r="F1000" s="12" t="n">
        <v>86.90000000000001</v>
      </c>
      <c r="G1000" s="12" t="n">
        <v>44.7</v>
      </c>
      <c r="H1000" s="10" t="n">
        <v>2</v>
      </c>
      <c r="I1000" s="10" t="n">
        <v>358</v>
      </c>
      <c r="J1000" s="7" t="inlineStr">
        <is>
          <t>IL</t>
        </is>
      </c>
      <c r="K1000" s="7" t="inlineStr">
        <is>
          <t>Condo</t>
        </is>
      </c>
      <c r="L1000" s="7" t="inlineStr">
        <is>
          <t>Apex Funding</t>
        </is>
      </c>
      <c r="M1000" s="7" t="inlineStr">
        <is>
          <t>Summit Loan Servicing</t>
        </is>
      </c>
    </row>
    <row r="1001">
      <c r="A1001" s="5" t="inlineStr">
        <is>
          <t>L100996</t>
        </is>
      </c>
      <c r="B1001" s="16" t="n">
        <v>317549.19</v>
      </c>
      <c r="C1001" s="16" t="n">
        <v>311573.18</v>
      </c>
      <c r="D1001" s="26" t="n">
        <v>4.922</v>
      </c>
      <c r="E1001" s="6" t="n">
        <v>648</v>
      </c>
      <c r="F1001" s="11" t="n">
        <v>69.90000000000001</v>
      </c>
      <c r="G1001" s="11" t="n">
        <v>33.5</v>
      </c>
      <c r="H1001" s="6" t="n">
        <v>15</v>
      </c>
      <c r="I1001" s="6" t="n">
        <v>345</v>
      </c>
      <c r="J1001" s="5" t="inlineStr">
        <is>
          <t>NY</t>
        </is>
      </c>
      <c r="K1001" s="5" t="inlineStr">
        <is>
          <t>Condo</t>
        </is>
      </c>
      <c r="L1001" s="5" t="inlineStr">
        <is>
          <t>Coastal Mortgage Co</t>
        </is>
      </c>
      <c r="M1001" s="5" t="inlineStr">
        <is>
          <t>Summit Loan Servicing</t>
        </is>
      </c>
    </row>
    <row r="1002">
      <c r="A1002" s="7" t="inlineStr">
        <is>
          <t>L100997</t>
        </is>
      </c>
      <c r="B1002" s="8" t="n">
        <v>253320.88</v>
      </c>
      <c r="C1002" s="8" t="n">
        <v>242148.06</v>
      </c>
      <c r="D1002" s="27" t="n">
        <v>4.958</v>
      </c>
      <c r="E1002" s="10" t="n">
        <v>820</v>
      </c>
      <c r="F1002" s="12" t="n">
        <v>83.40000000000001</v>
      </c>
      <c r="G1002" s="12" t="n">
        <v>27.6</v>
      </c>
      <c r="H1002" s="10" t="n">
        <v>34</v>
      </c>
      <c r="I1002" s="10" t="n">
        <v>326</v>
      </c>
      <c r="J1002" s="7" t="inlineStr">
        <is>
          <t>IL</t>
        </is>
      </c>
      <c r="K1002" s="7" t="inlineStr">
        <is>
          <t>2-4 Unit</t>
        </is>
      </c>
      <c r="L1002" s="7" t="inlineStr">
        <is>
          <t>Apex Funding</t>
        </is>
      </c>
      <c r="M1002" s="7" t="inlineStr">
        <is>
          <t>Pier Asset Mgmt</t>
        </is>
      </c>
    </row>
    <row r="1003">
      <c r="A1003" s="5" t="inlineStr">
        <is>
          <t>L100998</t>
        </is>
      </c>
      <c r="B1003" s="16" t="n">
        <v>254172.25</v>
      </c>
      <c r="C1003" s="16" t="n">
        <v>244501.17</v>
      </c>
      <c r="D1003" s="26" t="n">
        <v>7.694</v>
      </c>
      <c r="E1003" s="6" t="n">
        <v>760</v>
      </c>
      <c r="F1003" s="11" t="n">
        <v>74.59999999999999</v>
      </c>
      <c r="G1003" s="11" t="n">
        <v>36.6</v>
      </c>
      <c r="H1003" s="6" t="n">
        <v>46</v>
      </c>
      <c r="I1003" s="6" t="n">
        <v>314</v>
      </c>
      <c r="J1003" s="5" t="inlineStr">
        <is>
          <t>NC</t>
        </is>
      </c>
      <c r="K1003" s="5" t="inlineStr">
        <is>
          <t>SFR</t>
        </is>
      </c>
      <c r="L1003" s="5" t="inlineStr">
        <is>
          <t>Meridian Home Loans</t>
        </is>
      </c>
      <c r="M1003" s="5" t="inlineStr">
        <is>
          <t>Northgate Servicing</t>
        </is>
      </c>
    </row>
    <row r="1004">
      <c r="A1004" s="7" t="inlineStr">
        <is>
          <t>L100999</t>
        </is>
      </c>
      <c r="B1004" s="8" t="n">
        <v>323940</v>
      </c>
      <c r="C1004" s="8" t="n">
        <v>266959.85</v>
      </c>
      <c r="D1004" s="27" t="n">
        <v>6.491</v>
      </c>
      <c r="E1004" s="10" t="n">
        <v>697</v>
      </c>
      <c r="F1004" s="12" t="n">
        <v>63.3</v>
      </c>
      <c r="G1004" s="12" t="n">
        <v>39.8</v>
      </c>
      <c r="H1004" s="10" t="n">
        <v>47</v>
      </c>
      <c r="I1004" s="10" t="n">
        <v>133</v>
      </c>
      <c r="J1004" s="7" t="inlineStr">
        <is>
          <t>AZ</t>
        </is>
      </c>
      <c r="K1004" s="7" t="inlineStr">
        <is>
          <t>SFR</t>
        </is>
      </c>
      <c r="L1004" s="7" t="inlineStr">
        <is>
          <t>Coastal Mortgage Co</t>
        </is>
      </c>
      <c r="M1004" s="7" t="inlineStr">
        <is>
          <t>Summit Loan Servicing</t>
        </is>
      </c>
    </row>
    <row r="1005">
      <c r="A1005" s="5" t="inlineStr">
        <is>
          <t>L101000</t>
        </is>
      </c>
      <c r="B1005" s="16" t="n">
        <v>237815.65</v>
      </c>
      <c r="C1005" s="16" t="n">
        <v>231822.85</v>
      </c>
      <c r="D1005" s="26" t="n">
        <v>6.493</v>
      </c>
      <c r="E1005" s="6" t="n">
        <v>784</v>
      </c>
      <c r="F1005" s="11" t="n">
        <v>70.90000000000001</v>
      </c>
      <c r="G1005" s="11" t="n">
        <v>24.3</v>
      </c>
      <c r="H1005" s="6" t="n">
        <v>26</v>
      </c>
      <c r="I1005" s="6" t="n">
        <v>334</v>
      </c>
      <c r="J1005" s="5" t="inlineStr">
        <is>
          <t>NY</t>
        </is>
      </c>
      <c r="K1005" s="5" t="inlineStr">
        <is>
          <t>SFR</t>
        </is>
      </c>
      <c r="L1005" s="5" t="inlineStr">
        <is>
          <t>Coastal Mortgage Co</t>
        </is>
      </c>
      <c r="M1005" s="5" t="inlineStr">
        <is>
          <t>Northgate Servicing</t>
        </is>
      </c>
    </row>
    <row r="1006">
      <c r="A1006" s="7" t="inlineStr">
        <is>
          <t>L101001</t>
        </is>
      </c>
      <c r="B1006" s="8" t="n">
        <v>188103.87</v>
      </c>
      <c r="C1006" s="8" t="n">
        <v>185298.61</v>
      </c>
      <c r="D1006" s="27" t="n">
        <v>5.394</v>
      </c>
      <c r="E1006" s="10" t="n">
        <v>753</v>
      </c>
      <c r="F1006" s="12" t="n">
        <v>70.40000000000001</v>
      </c>
      <c r="G1006" s="12" t="n">
        <v>28.9</v>
      </c>
      <c r="H1006" s="10" t="n">
        <v>13</v>
      </c>
      <c r="I1006" s="10" t="n">
        <v>347</v>
      </c>
      <c r="J1006" s="7" t="inlineStr">
        <is>
          <t>OH</t>
        </is>
      </c>
      <c r="K1006" s="7" t="inlineStr">
        <is>
          <t>2-4 Unit</t>
        </is>
      </c>
      <c r="L1006" s="7" t="inlineStr">
        <is>
          <t>Coastal Mortgage Co</t>
        </is>
      </c>
      <c r="M1006" s="7" t="inlineStr">
        <is>
          <t>Pier Asset Mgmt</t>
        </is>
      </c>
    </row>
    <row r="1007">
      <c r="A1007" s="5" t="inlineStr">
        <is>
          <t>L101002</t>
        </is>
      </c>
      <c r="B1007" s="16" t="n">
        <v>210015.04</v>
      </c>
      <c r="C1007" s="16" t="n">
        <v>205370.29</v>
      </c>
      <c r="D1007" s="26" t="n">
        <v>6.491</v>
      </c>
      <c r="E1007" s="6" t="n">
        <v>820</v>
      </c>
      <c r="F1007" s="11" t="n">
        <v>65.59999999999999</v>
      </c>
      <c r="G1007" s="11" t="n">
        <v>30.2</v>
      </c>
      <c r="H1007" s="6" t="n">
        <v>23</v>
      </c>
      <c r="I1007" s="6" t="n">
        <v>337</v>
      </c>
      <c r="J1007" s="5" t="inlineStr">
        <is>
          <t>CA</t>
        </is>
      </c>
      <c r="K1007" s="5" t="inlineStr">
        <is>
          <t>Condo</t>
        </is>
      </c>
      <c r="L1007" s="5" t="inlineStr">
        <is>
          <t>Apex Funding</t>
        </is>
      </c>
      <c r="M1007" s="5" t="inlineStr">
        <is>
          <t>Northgate Servicing</t>
        </is>
      </c>
    </row>
    <row r="1008">
      <c r="A1008" s="7" t="inlineStr">
        <is>
          <t>L101003</t>
        </is>
      </c>
      <c r="B1008" s="8" t="n">
        <v>303115.33</v>
      </c>
      <c r="C1008" s="8" t="n">
        <v>295272.38</v>
      </c>
      <c r="D1008" s="27" t="n">
        <v>5.369</v>
      </c>
      <c r="E1008" s="10" t="n">
        <v>630</v>
      </c>
      <c r="F1008" s="12" t="n">
        <v>79.09999999999999</v>
      </c>
      <c r="G1008" s="12" t="n">
        <v>34.3</v>
      </c>
      <c r="H1008" s="10" t="n">
        <v>22</v>
      </c>
      <c r="I1008" s="10" t="n">
        <v>338</v>
      </c>
      <c r="J1008" s="7" t="inlineStr">
        <is>
          <t>OH</t>
        </is>
      </c>
      <c r="K1008" s="7" t="inlineStr">
        <is>
          <t>SFR</t>
        </is>
      </c>
      <c r="L1008" s="7" t="inlineStr">
        <is>
          <t>Highline Capital</t>
        </is>
      </c>
      <c r="M1008" s="7" t="inlineStr">
        <is>
          <t>Pier Asset Mgmt</t>
        </is>
      </c>
    </row>
    <row r="1009">
      <c r="A1009" s="5" t="inlineStr">
        <is>
          <t>L101004</t>
        </is>
      </c>
      <c r="B1009" s="16" t="n">
        <v>243056.12</v>
      </c>
      <c r="C1009" s="16" t="n">
        <v>239406.65</v>
      </c>
      <c r="D1009" s="26" t="n">
        <v>7.468</v>
      </c>
      <c r="E1009" s="6" t="n">
        <v>700</v>
      </c>
      <c r="F1009" s="11" t="n">
        <v>76.8</v>
      </c>
      <c r="G1009" s="11" t="n">
        <v>29.9</v>
      </c>
      <c r="H1009" s="6" t="n">
        <v>19</v>
      </c>
      <c r="I1009" s="6" t="n">
        <v>341</v>
      </c>
      <c r="J1009" s="5" t="inlineStr">
        <is>
          <t>NC</t>
        </is>
      </c>
      <c r="K1009" s="5" t="inlineStr">
        <is>
          <t>Condo</t>
        </is>
      </c>
      <c r="L1009" s="5" t="inlineStr">
        <is>
          <t>Highline Capital</t>
        </is>
      </c>
      <c r="M1009" s="5" t="inlineStr">
        <is>
          <t>Summit Loan Servicing</t>
        </is>
      </c>
    </row>
    <row r="1010">
      <c r="A1010" s="7" t="inlineStr">
        <is>
          <t>L101005</t>
        </is>
      </c>
      <c r="B1010" s="8" t="n">
        <v>273504.54</v>
      </c>
      <c r="C1010" s="8" t="n">
        <v>270726.7</v>
      </c>
      <c r="D1010" s="27" t="n">
        <v>8.855</v>
      </c>
      <c r="E1010" s="10" t="n">
        <v>690</v>
      </c>
      <c r="F1010" s="12" t="n">
        <v>54.9</v>
      </c>
      <c r="G1010" s="12" t="n">
        <v>41.7</v>
      </c>
      <c r="H1010" s="10" t="n">
        <v>17</v>
      </c>
      <c r="I1010" s="10" t="n">
        <v>343</v>
      </c>
      <c r="J1010" s="7" t="inlineStr">
        <is>
          <t>GA</t>
        </is>
      </c>
      <c r="K1010" s="7" t="inlineStr">
        <is>
          <t>SFR</t>
        </is>
      </c>
      <c r="L1010" s="7" t="inlineStr">
        <is>
          <t>Apex Funding</t>
        </is>
      </c>
      <c r="M1010" s="7" t="inlineStr">
        <is>
          <t>Summit Loan Servicing</t>
        </is>
      </c>
    </row>
    <row r="1011">
      <c r="A1011" s="5" t="inlineStr">
        <is>
          <t>L101006</t>
        </is>
      </c>
      <c r="B1011" s="16" t="n">
        <v>306976.89</v>
      </c>
      <c r="C1011" s="16" t="n">
        <v>295012.79</v>
      </c>
      <c r="D1011" s="26" t="n">
        <v>6.836</v>
      </c>
      <c r="E1011" s="6" t="n">
        <v>606</v>
      </c>
      <c r="F1011" s="11" t="n">
        <v>54.2</v>
      </c>
      <c r="G1011" s="11" t="n">
        <v>23.2</v>
      </c>
      <c r="H1011" s="6" t="n">
        <v>41</v>
      </c>
      <c r="I1011" s="6" t="n">
        <v>319</v>
      </c>
      <c r="J1011" s="5" t="inlineStr">
        <is>
          <t>NY</t>
        </is>
      </c>
      <c r="K1011" s="5" t="inlineStr">
        <is>
          <t>SFR</t>
        </is>
      </c>
      <c r="L1011" s="5" t="inlineStr">
        <is>
          <t>Coastal Mortgage Co</t>
        </is>
      </c>
      <c r="M1011" s="5" t="inlineStr">
        <is>
          <t>Northgate Servicing</t>
        </is>
      </c>
    </row>
    <row r="1012">
      <c r="A1012" s="7" t="inlineStr">
        <is>
          <t>L101007</t>
        </is>
      </c>
      <c r="B1012" s="8" t="n">
        <v>212948.47</v>
      </c>
      <c r="C1012" s="8" t="n">
        <v>208600.06</v>
      </c>
      <c r="D1012" s="27" t="n">
        <v>5.829</v>
      </c>
      <c r="E1012" s="10" t="n">
        <v>773</v>
      </c>
      <c r="F1012" s="12" t="n">
        <v>79.09999999999999</v>
      </c>
      <c r="G1012" s="12" t="n">
        <v>23.4</v>
      </c>
      <c r="H1012" s="10" t="n">
        <v>19</v>
      </c>
      <c r="I1012" s="10" t="n">
        <v>341</v>
      </c>
      <c r="J1012" s="7" t="inlineStr">
        <is>
          <t>NY</t>
        </is>
      </c>
      <c r="K1012" s="7" t="inlineStr">
        <is>
          <t>2-4 Unit</t>
        </is>
      </c>
      <c r="L1012" s="7" t="inlineStr">
        <is>
          <t>Highline Capital</t>
        </is>
      </c>
      <c r="M1012" s="7" t="inlineStr">
        <is>
          <t>Pier Asset Mgmt</t>
        </is>
      </c>
    </row>
    <row r="1013">
      <c r="A1013" s="5" t="inlineStr">
        <is>
          <t>L101008</t>
        </is>
      </c>
      <c r="B1013" s="16" t="n">
        <v>316376.06</v>
      </c>
      <c r="C1013" s="16" t="n">
        <v>315482.19</v>
      </c>
      <c r="D1013" s="26" t="n">
        <v>4.12</v>
      </c>
      <c r="E1013" s="6" t="n">
        <v>700</v>
      </c>
      <c r="F1013" s="11" t="n">
        <v>64.2</v>
      </c>
      <c r="G1013" s="11" t="n">
        <v>33.3</v>
      </c>
      <c r="H1013" s="6" t="n">
        <v>2</v>
      </c>
      <c r="I1013" s="6" t="n">
        <v>358</v>
      </c>
      <c r="J1013" s="5" t="inlineStr">
        <is>
          <t>NY</t>
        </is>
      </c>
      <c r="K1013" s="5" t="inlineStr">
        <is>
          <t>SFR</t>
        </is>
      </c>
      <c r="L1013" s="5" t="inlineStr">
        <is>
          <t>Highline Capital</t>
        </is>
      </c>
      <c r="M1013" s="5" t="inlineStr">
        <is>
          <t>Pier Asset Mgmt</t>
        </is>
      </c>
    </row>
    <row r="1014">
      <c r="A1014" s="7" t="inlineStr">
        <is>
          <t>L101009</t>
        </is>
      </c>
      <c r="B1014" s="8" t="n">
        <v>277227.82</v>
      </c>
      <c r="C1014" s="8" t="n">
        <v>264845.44</v>
      </c>
      <c r="D1014" s="27" t="n">
        <v>4.884</v>
      </c>
      <c r="E1014" s="10" t="n">
        <v>756</v>
      </c>
      <c r="F1014" s="12" t="n">
        <v>77.59999999999999</v>
      </c>
      <c r="G1014" s="12" t="n">
        <v>34.6</v>
      </c>
      <c r="H1014" s="10" t="n">
        <v>34</v>
      </c>
      <c r="I1014" s="10" t="n">
        <v>326</v>
      </c>
      <c r="J1014" s="7" t="inlineStr">
        <is>
          <t>WA</t>
        </is>
      </c>
      <c r="K1014" s="7" t="inlineStr">
        <is>
          <t>Multifamily</t>
        </is>
      </c>
      <c r="L1014" s="7" t="inlineStr">
        <is>
          <t>Highline Capital</t>
        </is>
      </c>
      <c r="M1014" s="7" t="inlineStr">
        <is>
          <t>Northgate Servicing</t>
        </is>
      </c>
    </row>
    <row r="1015">
      <c r="A1015" s="5" t="inlineStr">
        <is>
          <t>L101010</t>
        </is>
      </c>
      <c r="B1015" s="16" t="n">
        <v>157599.99</v>
      </c>
      <c r="C1015" s="16" t="n">
        <v>153696.33</v>
      </c>
      <c r="D1015" s="26" t="n">
        <v>7.799</v>
      </c>
      <c r="E1015" s="6" t="n">
        <v>820</v>
      </c>
      <c r="F1015" s="11" t="n">
        <v>83.40000000000001</v>
      </c>
      <c r="G1015" s="11" t="n">
        <v>24.4</v>
      </c>
      <c r="H1015" s="6" t="n">
        <v>32</v>
      </c>
      <c r="I1015" s="6" t="n">
        <v>328</v>
      </c>
      <c r="J1015" s="5" t="inlineStr">
        <is>
          <t>CA</t>
        </is>
      </c>
      <c r="K1015" s="5" t="inlineStr">
        <is>
          <t>2-4 Unit</t>
        </is>
      </c>
      <c r="L1015" s="5" t="inlineStr">
        <is>
          <t>Highline Capital</t>
        </is>
      </c>
      <c r="M1015" s="5" t="inlineStr">
        <is>
          <t>Summit Loan Servicing</t>
        </is>
      </c>
    </row>
    <row r="1016">
      <c r="A1016" s="7" t="inlineStr">
        <is>
          <t>L101011</t>
        </is>
      </c>
      <c r="B1016" s="8" t="n">
        <v>402240.99</v>
      </c>
      <c r="C1016" s="8" t="n">
        <v>393960.76</v>
      </c>
      <c r="D1016" s="27" t="n">
        <v>5.474</v>
      </c>
      <c r="E1016" s="10" t="n">
        <v>696</v>
      </c>
      <c r="F1016" s="12" t="n">
        <v>58.7</v>
      </c>
      <c r="G1016" s="12" t="n">
        <v>31.1</v>
      </c>
      <c r="H1016" s="10" t="n">
        <v>18</v>
      </c>
      <c r="I1016" s="10" t="n">
        <v>342</v>
      </c>
      <c r="J1016" s="7" t="inlineStr">
        <is>
          <t>NC</t>
        </is>
      </c>
      <c r="K1016" s="7" t="inlineStr">
        <is>
          <t>Multifamily</t>
        </is>
      </c>
      <c r="L1016" s="7" t="inlineStr">
        <is>
          <t>Highline Capital</t>
        </is>
      </c>
      <c r="M1016" s="7" t="inlineStr">
        <is>
          <t>Northgate Servicing</t>
        </is>
      </c>
    </row>
    <row r="1017">
      <c r="A1017" s="5" t="inlineStr">
        <is>
          <t>L101012</t>
        </is>
      </c>
      <c r="B1017" s="16" t="n">
        <v>203768.4</v>
      </c>
      <c r="C1017" s="16" t="n">
        <v>197297.28</v>
      </c>
      <c r="D1017" s="26" t="n">
        <v>6.066</v>
      </c>
      <c r="E1017" s="6" t="n">
        <v>692</v>
      </c>
      <c r="F1017" s="11" t="n">
        <v>57.1</v>
      </c>
      <c r="G1017" s="11" t="n">
        <v>32.8</v>
      </c>
      <c r="H1017" s="6" t="n">
        <v>30</v>
      </c>
      <c r="I1017" s="6" t="n">
        <v>330</v>
      </c>
      <c r="J1017" s="5" t="inlineStr">
        <is>
          <t>WA</t>
        </is>
      </c>
      <c r="K1017" s="5" t="inlineStr">
        <is>
          <t>2-4 Unit</t>
        </is>
      </c>
      <c r="L1017" s="5" t="inlineStr">
        <is>
          <t>Highline Capital</t>
        </is>
      </c>
      <c r="M1017" s="5" t="inlineStr">
        <is>
          <t>Summit Loan Servicing</t>
        </is>
      </c>
    </row>
    <row r="1018">
      <c r="A1018" s="7" t="inlineStr">
        <is>
          <t>L101013</t>
        </is>
      </c>
      <c r="B1018" s="8" t="n">
        <v>136041.69</v>
      </c>
      <c r="C1018" s="8" t="n">
        <v>130312.14</v>
      </c>
      <c r="D1018" s="27" t="n">
        <v>6.99</v>
      </c>
      <c r="E1018" s="10" t="n">
        <v>722</v>
      </c>
      <c r="F1018" s="12" t="n">
        <v>94.09999999999999</v>
      </c>
      <c r="G1018" s="12" t="n">
        <v>32.9</v>
      </c>
      <c r="H1018" s="10" t="n">
        <v>45</v>
      </c>
      <c r="I1018" s="10" t="n">
        <v>315</v>
      </c>
      <c r="J1018" s="7" t="inlineStr">
        <is>
          <t>GA</t>
        </is>
      </c>
      <c r="K1018" s="7" t="inlineStr">
        <is>
          <t>SFR</t>
        </is>
      </c>
      <c r="L1018" s="7" t="inlineStr">
        <is>
          <t>Apex Funding</t>
        </is>
      </c>
      <c r="M1018" s="7" t="inlineStr">
        <is>
          <t>Summit Loan Servicing</t>
        </is>
      </c>
    </row>
    <row r="1019">
      <c r="A1019" s="5" t="inlineStr">
        <is>
          <t>L101014</t>
        </is>
      </c>
      <c r="B1019" s="16" t="n">
        <v>168423.13</v>
      </c>
      <c r="C1019" s="16" t="n">
        <v>162378.63</v>
      </c>
      <c r="D1019" s="26" t="n">
        <v>7.734</v>
      </c>
      <c r="E1019" s="6" t="n">
        <v>769</v>
      </c>
      <c r="F1019" s="11" t="n">
        <v>78.2</v>
      </c>
      <c r="G1019" s="11" t="n">
        <v>37.2</v>
      </c>
      <c r="H1019" s="6" t="n">
        <v>44</v>
      </c>
      <c r="I1019" s="6" t="n">
        <v>316</v>
      </c>
      <c r="J1019" s="5" t="inlineStr">
        <is>
          <t>NC</t>
        </is>
      </c>
      <c r="K1019" s="5" t="inlineStr">
        <is>
          <t>SFR</t>
        </is>
      </c>
      <c r="L1019" s="5" t="inlineStr">
        <is>
          <t>Apex Funding</t>
        </is>
      </c>
      <c r="M1019" s="5" t="inlineStr">
        <is>
          <t>Summit Loan Servicing</t>
        </is>
      </c>
    </row>
    <row r="1020">
      <c r="A1020" s="7" t="inlineStr">
        <is>
          <t>L101015</t>
        </is>
      </c>
      <c r="B1020" s="8" t="n">
        <v>169843.75</v>
      </c>
      <c r="C1020" s="8" t="n">
        <v>163055.28</v>
      </c>
      <c r="D1020" s="27" t="n">
        <v>6.22</v>
      </c>
      <c r="E1020" s="10" t="n">
        <v>684</v>
      </c>
      <c r="F1020" s="12" t="n">
        <v>69</v>
      </c>
      <c r="G1020" s="12" t="n">
        <v>30.7</v>
      </c>
      <c r="H1020" s="10" t="n">
        <v>38</v>
      </c>
      <c r="I1020" s="10" t="n">
        <v>322</v>
      </c>
      <c r="J1020" s="7" t="inlineStr">
        <is>
          <t>GA</t>
        </is>
      </c>
      <c r="K1020" s="7" t="inlineStr">
        <is>
          <t>SFR</t>
        </is>
      </c>
      <c r="L1020" s="7" t="inlineStr">
        <is>
          <t>Apex Funding</t>
        </is>
      </c>
      <c r="M1020" s="7" t="inlineStr">
        <is>
          <t>Pier Asset Mgmt</t>
        </is>
      </c>
    </row>
    <row r="1021">
      <c r="A1021" s="5" t="inlineStr">
        <is>
          <t>L101016</t>
        </is>
      </c>
      <c r="B1021" s="16" t="n">
        <v>247276.06</v>
      </c>
      <c r="C1021" s="16" t="n">
        <v>221857.08</v>
      </c>
      <c r="D1021" s="26" t="n">
        <v>6.036</v>
      </c>
      <c r="E1021" s="6" t="n">
        <v>680</v>
      </c>
      <c r="F1021" s="11" t="n">
        <v>62.8</v>
      </c>
      <c r="G1021" s="11" t="n">
        <v>47.8</v>
      </c>
      <c r="H1021" s="6" t="n">
        <v>28</v>
      </c>
      <c r="I1021" s="6" t="n">
        <v>152</v>
      </c>
      <c r="J1021" s="5" t="inlineStr">
        <is>
          <t>GA</t>
        </is>
      </c>
      <c r="K1021" s="5" t="inlineStr">
        <is>
          <t>Condo</t>
        </is>
      </c>
      <c r="L1021" s="5" t="inlineStr">
        <is>
          <t>Coastal Mortgage Co</t>
        </is>
      </c>
      <c r="M1021" s="5" t="inlineStr">
        <is>
          <t>Northgate Servicing</t>
        </is>
      </c>
    </row>
    <row r="1022">
      <c r="A1022" s="7" t="inlineStr">
        <is>
          <t>L101017</t>
        </is>
      </c>
      <c r="B1022" s="8" t="n">
        <v>220610.13</v>
      </c>
      <c r="C1022" s="8" t="n">
        <v>219148.14</v>
      </c>
      <c r="D1022" s="27" t="n">
        <v>6.464</v>
      </c>
      <c r="E1022" s="10" t="n">
        <v>773</v>
      </c>
      <c r="F1022" s="12" t="n">
        <v>67.90000000000001</v>
      </c>
      <c r="G1022" s="12" t="n">
        <v>39.9</v>
      </c>
      <c r="H1022" s="10" t="n">
        <v>2</v>
      </c>
      <c r="I1022" s="10" t="n">
        <v>178</v>
      </c>
      <c r="J1022" s="7" t="inlineStr">
        <is>
          <t>NC</t>
        </is>
      </c>
      <c r="K1022" s="7" t="inlineStr">
        <is>
          <t>SFR</t>
        </is>
      </c>
      <c r="L1022" s="7" t="inlineStr">
        <is>
          <t>Highline Capital</t>
        </is>
      </c>
      <c r="M1022" s="7" t="inlineStr">
        <is>
          <t>Summit Loan Servicing</t>
        </is>
      </c>
    </row>
    <row r="1023">
      <c r="A1023" s="5" t="inlineStr">
        <is>
          <t>L101018</t>
        </is>
      </c>
      <c r="B1023" s="16" t="n">
        <v>215800.32</v>
      </c>
      <c r="C1023" s="16" t="n">
        <v>209922.03</v>
      </c>
      <c r="D1023" s="26" t="n">
        <v>5.835</v>
      </c>
      <c r="E1023" s="6" t="n">
        <v>736</v>
      </c>
      <c r="F1023" s="11" t="n">
        <v>59.7</v>
      </c>
      <c r="G1023" s="11" t="n">
        <v>29.5</v>
      </c>
      <c r="H1023" s="6" t="n">
        <v>25</v>
      </c>
      <c r="I1023" s="6" t="n">
        <v>335</v>
      </c>
      <c r="J1023" s="5" t="inlineStr">
        <is>
          <t>WA</t>
        </is>
      </c>
      <c r="K1023" s="5" t="inlineStr">
        <is>
          <t>2-4 Unit</t>
        </is>
      </c>
      <c r="L1023" s="5" t="inlineStr">
        <is>
          <t>Apex Funding</t>
        </is>
      </c>
      <c r="M1023" s="5" t="inlineStr">
        <is>
          <t>Northgate Servicing</t>
        </is>
      </c>
    </row>
    <row r="1024">
      <c r="A1024" s="7" t="inlineStr">
        <is>
          <t>L101019</t>
        </is>
      </c>
      <c r="B1024" s="8" t="n">
        <v>301611.69</v>
      </c>
      <c r="C1024" s="8" t="n">
        <v>256716.64</v>
      </c>
      <c r="D1024" s="27" t="n">
        <v>5.884</v>
      </c>
      <c r="E1024" s="10" t="n">
        <v>603</v>
      </c>
      <c r="F1024" s="12" t="n">
        <v>84.59999999999999</v>
      </c>
      <c r="G1024" s="12" t="n">
        <v>36.8</v>
      </c>
      <c r="H1024" s="10" t="n">
        <v>39</v>
      </c>
      <c r="I1024" s="10" t="n">
        <v>141</v>
      </c>
      <c r="J1024" s="7" t="inlineStr">
        <is>
          <t>AZ</t>
        </is>
      </c>
      <c r="K1024" s="7" t="inlineStr">
        <is>
          <t>SFR</t>
        </is>
      </c>
      <c r="L1024" s="7" t="inlineStr">
        <is>
          <t>Apex Funding</t>
        </is>
      </c>
      <c r="M1024" s="7" t="inlineStr">
        <is>
          <t>Pier Asset Mgmt</t>
        </is>
      </c>
    </row>
    <row r="1025">
      <c r="A1025" s="5" t="inlineStr">
        <is>
          <t>L101020</t>
        </is>
      </c>
      <c r="B1025" s="16" t="n">
        <v>273472.51</v>
      </c>
      <c r="C1025" s="16" t="n">
        <v>234103.13</v>
      </c>
      <c r="D1025" s="26" t="n">
        <v>6.771</v>
      </c>
      <c r="E1025" s="6" t="n">
        <v>648</v>
      </c>
      <c r="F1025" s="11" t="n">
        <v>64.7</v>
      </c>
      <c r="G1025" s="11" t="n">
        <v>37</v>
      </c>
      <c r="H1025" s="6" t="n">
        <v>40</v>
      </c>
      <c r="I1025" s="6" t="n">
        <v>140</v>
      </c>
      <c r="J1025" s="5" t="inlineStr">
        <is>
          <t>OH</t>
        </is>
      </c>
      <c r="K1025" s="5" t="inlineStr">
        <is>
          <t>SFR</t>
        </is>
      </c>
      <c r="L1025" s="5" t="inlineStr">
        <is>
          <t>Apex Funding</t>
        </is>
      </c>
      <c r="M1025" s="5" t="inlineStr">
        <is>
          <t>Pier Asset Mgmt</t>
        </is>
      </c>
    </row>
    <row r="1026">
      <c r="A1026" s="7" t="inlineStr">
        <is>
          <t>L101021</t>
        </is>
      </c>
      <c r="B1026" s="8" t="n">
        <v>271201.33</v>
      </c>
      <c r="C1026" s="8" t="n">
        <v>261306.5</v>
      </c>
      <c r="D1026" s="27" t="n">
        <v>6.567</v>
      </c>
      <c r="E1026" s="10" t="n">
        <v>798</v>
      </c>
      <c r="F1026" s="12" t="n">
        <v>87.09999999999999</v>
      </c>
      <c r="G1026" s="12" t="n">
        <v>45.7</v>
      </c>
      <c r="H1026" s="10" t="n">
        <v>37</v>
      </c>
      <c r="I1026" s="10" t="n">
        <v>323</v>
      </c>
      <c r="J1026" s="7" t="inlineStr">
        <is>
          <t>GA</t>
        </is>
      </c>
      <c r="K1026" s="7" t="inlineStr">
        <is>
          <t>SFR</t>
        </is>
      </c>
      <c r="L1026" s="7" t="inlineStr">
        <is>
          <t>Meridian Home Loans</t>
        </is>
      </c>
      <c r="M1026" s="7" t="inlineStr">
        <is>
          <t>Northgate Servicing</t>
        </is>
      </c>
    </row>
    <row r="1027">
      <c r="A1027" s="5" t="inlineStr">
        <is>
          <t>L101022</t>
        </is>
      </c>
      <c r="B1027" s="16" t="n">
        <v>280250.73</v>
      </c>
      <c r="C1027" s="16" t="n">
        <v>270498.55</v>
      </c>
      <c r="D1027" s="26" t="n">
        <v>8.318</v>
      </c>
      <c r="E1027" s="6" t="n">
        <v>737</v>
      </c>
      <c r="F1027" s="11" t="n">
        <v>69.2</v>
      </c>
      <c r="G1027" s="11" t="n">
        <v>31.2</v>
      </c>
      <c r="H1027" s="6" t="n">
        <v>47</v>
      </c>
      <c r="I1027" s="6" t="n">
        <v>313</v>
      </c>
      <c r="J1027" s="5" t="inlineStr">
        <is>
          <t>AZ</t>
        </is>
      </c>
      <c r="K1027" s="5" t="inlineStr">
        <is>
          <t>Condo</t>
        </is>
      </c>
      <c r="L1027" s="5" t="inlineStr">
        <is>
          <t>Highline Capital</t>
        </is>
      </c>
      <c r="M1027" s="5" t="inlineStr">
        <is>
          <t>Summit Loan Servicing</t>
        </is>
      </c>
    </row>
    <row r="1028">
      <c r="A1028" s="7" t="inlineStr">
        <is>
          <t>L101023</t>
        </is>
      </c>
      <c r="B1028" s="8" t="n">
        <v>301235.35</v>
      </c>
      <c r="C1028" s="8" t="n">
        <v>275332.39</v>
      </c>
      <c r="D1028" s="27" t="n">
        <v>6.795</v>
      </c>
      <c r="E1028" s="10" t="n">
        <v>673</v>
      </c>
      <c r="F1028" s="12" t="n">
        <v>61.5</v>
      </c>
      <c r="G1028" s="12" t="n">
        <v>42.1</v>
      </c>
      <c r="H1028" s="10" t="n">
        <v>25</v>
      </c>
      <c r="I1028" s="10" t="n">
        <v>155</v>
      </c>
      <c r="J1028" s="7" t="inlineStr">
        <is>
          <t>OH</t>
        </is>
      </c>
      <c r="K1028" s="7" t="inlineStr">
        <is>
          <t>SFR</t>
        </is>
      </c>
      <c r="L1028" s="7" t="inlineStr">
        <is>
          <t>Apex Funding</t>
        </is>
      </c>
      <c r="M1028" s="7" t="inlineStr">
        <is>
          <t>Northgate Servicing</t>
        </is>
      </c>
    </row>
    <row r="1029">
      <c r="A1029" s="5" t="inlineStr">
        <is>
          <t>L101024</t>
        </is>
      </c>
      <c r="B1029" s="16" t="n">
        <v>116101.06</v>
      </c>
      <c r="C1029" s="16" t="n">
        <v>115569.24</v>
      </c>
      <c r="D1029" s="26" t="n">
        <v>7.436</v>
      </c>
      <c r="E1029" s="6" t="n">
        <v>706</v>
      </c>
      <c r="F1029" s="11" t="n">
        <v>68.90000000000001</v>
      </c>
      <c r="G1029" s="11" t="n">
        <v>36.3</v>
      </c>
      <c r="H1029" s="6" t="n">
        <v>6</v>
      </c>
      <c r="I1029" s="6" t="n">
        <v>354</v>
      </c>
      <c r="J1029" s="5" t="inlineStr">
        <is>
          <t>FL</t>
        </is>
      </c>
      <c r="K1029" s="5" t="inlineStr">
        <is>
          <t>SFR</t>
        </is>
      </c>
      <c r="L1029" s="5" t="inlineStr">
        <is>
          <t>Highline Capital</t>
        </is>
      </c>
      <c r="M1029" s="5" t="inlineStr">
        <is>
          <t>Northgate Servicing</t>
        </is>
      </c>
    </row>
    <row r="1030">
      <c r="A1030" s="7" t="inlineStr">
        <is>
          <t>L101025</t>
        </is>
      </c>
      <c r="B1030" s="8" t="n">
        <v>213725.25</v>
      </c>
      <c r="C1030" s="8" t="n">
        <v>207736.8</v>
      </c>
      <c r="D1030" s="27" t="n">
        <v>5.436</v>
      </c>
      <c r="E1030" s="10" t="n">
        <v>716</v>
      </c>
      <c r="F1030" s="12" t="n">
        <v>42.5</v>
      </c>
      <c r="G1030" s="12" t="n">
        <v>47.9</v>
      </c>
      <c r="H1030" s="10" t="n">
        <v>24</v>
      </c>
      <c r="I1030" s="10" t="n">
        <v>336</v>
      </c>
      <c r="J1030" s="7" t="inlineStr">
        <is>
          <t>OH</t>
        </is>
      </c>
      <c r="K1030" s="7" t="inlineStr">
        <is>
          <t>SFR</t>
        </is>
      </c>
      <c r="L1030" s="7" t="inlineStr">
        <is>
          <t>Meridian Home Loans</t>
        </is>
      </c>
      <c r="M1030" s="7" t="inlineStr">
        <is>
          <t>Pier Asset Mgmt</t>
        </is>
      </c>
    </row>
    <row r="1031">
      <c r="A1031" s="5" t="inlineStr">
        <is>
          <t>L101026</t>
        </is>
      </c>
      <c r="B1031" s="16" t="n">
        <v>113201.7</v>
      </c>
      <c r="C1031" s="16" t="n">
        <v>111715.93</v>
      </c>
      <c r="D1031" s="26" t="n">
        <v>6.873</v>
      </c>
      <c r="E1031" s="6" t="n">
        <v>755</v>
      </c>
      <c r="F1031" s="11" t="n">
        <v>72.59999999999999</v>
      </c>
      <c r="G1031" s="11" t="n">
        <v>46.3</v>
      </c>
      <c r="H1031" s="6" t="n">
        <v>15</v>
      </c>
      <c r="I1031" s="6" t="n">
        <v>345</v>
      </c>
      <c r="J1031" s="5" t="inlineStr">
        <is>
          <t>NC</t>
        </is>
      </c>
      <c r="K1031" s="5" t="inlineStr">
        <is>
          <t>SFR</t>
        </is>
      </c>
      <c r="L1031" s="5" t="inlineStr">
        <is>
          <t>Meridian Home Loans</t>
        </is>
      </c>
      <c r="M1031" s="5" t="inlineStr">
        <is>
          <t>Northgate Servicing</t>
        </is>
      </c>
    </row>
    <row r="1032">
      <c r="A1032" s="7" t="inlineStr">
        <is>
          <t>L101027</t>
        </is>
      </c>
      <c r="B1032" s="8" t="n">
        <v>245885.43</v>
      </c>
      <c r="C1032" s="8" t="n">
        <v>234594.29</v>
      </c>
      <c r="D1032" s="27" t="n">
        <v>5.749</v>
      </c>
      <c r="E1032" s="10" t="n">
        <v>640</v>
      </c>
      <c r="F1032" s="12" t="n">
        <v>72</v>
      </c>
      <c r="G1032" s="12" t="n">
        <v>37.6</v>
      </c>
      <c r="H1032" s="10" t="n">
        <v>40</v>
      </c>
      <c r="I1032" s="10" t="n">
        <v>320</v>
      </c>
      <c r="J1032" s="7" t="inlineStr">
        <is>
          <t>IL</t>
        </is>
      </c>
      <c r="K1032" s="7" t="inlineStr">
        <is>
          <t>Multifamily</t>
        </is>
      </c>
      <c r="L1032" s="7" t="inlineStr">
        <is>
          <t>Highline Capital</t>
        </is>
      </c>
      <c r="M1032" s="7" t="inlineStr">
        <is>
          <t>Pier Asset Mgmt</t>
        </is>
      </c>
    </row>
    <row r="1033">
      <c r="A1033" s="5" t="inlineStr">
        <is>
          <t>L101028</t>
        </is>
      </c>
      <c r="B1033" s="16" t="n">
        <v>242408.22</v>
      </c>
      <c r="C1033" s="16" t="n">
        <v>233859.52</v>
      </c>
      <c r="D1033" s="26" t="n">
        <v>6.756</v>
      </c>
      <c r="E1033" s="6" t="n">
        <v>669</v>
      </c>
      <c r="F1033" s="11" t="n">
        <v>83.90000000000001</v>
      </c>
      <c r="G1033" s="11" t="n">
        <v>33.9</v>
      </c>
      <c r="H1033" s="6" t="n">
        <v>37</v>
      </c>
      <c r="I1033" s="6" t="n">
        <v>323</v>
      </c>
      <c r="J1033" s="5" t="inlineStr">
        <is>
          <t>AZ</t>
        </is>
      </c>
      <c r="K1033" s="5" t="inlineStr">
        <is>
          <t>SFR</t>
        </is>
      </c>
      <c r="L1033" s="5" t="inlineStr">
        <is>
          <t>Apex Funding</t>
        </is>
      </c>
      <c r="M1033" s="5" t="inlineStr">
        <is>
          <t>Northgate Servicing</t>
        </is>
      </c>
    </row>
    <row r="1034">
      <c r="A1034" s="7" t="inlineStr">
        <is>
          <t>L101029</t>
        </is>
      </c>
      <c r="B1034" s="8" t="n">
        <v>350086.76</v>
      </c>
      <c r="C1034" s="8" t="n">
        <v>344040.97</v>
      </c>
      <c r="D1034" s="27" t="n">
        <v>7.02</v>
      </c>
      <c r="E1034" s="10" t="n">
        <v>730</v>
      </c>
      <c r="F1034" s="12" t="n">
        <v>51.4</v>
      </c>
      <c r="G1034" s="12" t="n">
        <v>40.1</v>
      </c>
      <c r="H1034" s="10" t="n">
        <v>20</v>
      </c>
      <c r="I1034" s="10" t="n">
        <v>340</v>
      </c>
      <c r="J1034" s="7" t="inlineStr">
        <is>
          <t>TX</t>
        </is>
      </c>
      <c r="K1034" s="7" t="inlineStr">
        <is>
          <t>SFR</t>
        </is>
      </c>
      <c r="L1034" s="7" t="inlineStr">
        <is>
          <t>Apex Funding</t>
        </is>
      </c>
      <c r="M1034" s="7" t="inlineStr">
        <is>
          <t>Northgate Servicing</t>
        </is>
      </c>
    </row>
    <row r="1035">
      <c r="A1035" s="5" t="inlineStr">
        <is>
          <t>L101030</t>
        </is>
      </c>
      <c r="B1035" s="16" t="n">
        <v>367938.85</v>
      </c>
      <c r="C1035" s="16" t="n">
        <v>361232.82</v>
      </c>
      <c r="D1035" s="26" t="n">
        <v>6.445</v>
      </c>
      <c r="E1035" s="6" t="n">
        <v>710</v>
      </c>
      <c r="F1035" s="11" t="n">
        <v>87.90000000000001</v>
      </c>
      <c r="G1035" s="11" t="n">
        <v>34.6</v>
      </c>
      <c r="H1035" s="6" t="n">
        <v>19</v>
      </c>
      <c r="I1035" s="6" t="n">
        <v>341</v>
      </c>
      <c r="J1035" s="5" t="inlineStr">
        <is>
          <t>NC</t>
        </is>
      </c>
      <c r="K1035" s="5" t="inlineStr">
        <is>
          <t>SFR</t>
        </is>
      </c>
      <c r="L1035" s="5" t="inlineStr">
        <is>
          <t>Coastal Mortgage Co</t>
        </is>
      </c>
      <c r="M1035" s="5" t="inlineStr">
        <is>
          <t>Summit Loan Servicing</t>
        </is>
      </c>
    </row>
    <row r="1036">
      <c r="A1036" s="7" t="inlineStr">
        <is>
          <t>L101031</t>
        </is>
      </c>
      <c r="B1036" s="8" t="n">
        <v>260659.77</v>
      </c>
      <c r="C1036" s="8" t="n">
        <v>254785.16</v>
      </c>
      <c r="D1036" s="27" t="n">
        <v>8.567</v>
      </c>
      <c r="E1036" s="10" t="n">
        <v>746</v>
      </c>
      <c r="F1036" s="12" t="n">
        <v>83.8</v>
      </c>
      <c r="G1036" s="12" t="n">
        <v>49.4</v>
      </c>
      <c r="H1036" s="10" t="n">
        <v>8</v>
      </c>
      <c r="I1036" s="10" t="n">
        <v>172</v>
      </c>
      <c r="J1036" s="7" t="inlineStr">
        <is>
          <t>GA</t>
        </is>
      </c>
      <c r="K1036" s="7" t="inlineStr">
        <is>
          <t>SFR</t>
        </is>
      </c>
      <c r="L1036" s="7" t="inlineStr">
        <is>
          <t>Apex Funding</t>
        </is>
      </c>
      <c r="M1036" s="7" t="inlineStr">
        <is>
          <t>Northgate Servicing</t>
        </is>
      </c>
    </row>
    <row r="1037">
      <c r="A1037" s="5" t="inlineStr">
        <is>
          <t>L101032</t>
        </is>
      </c>
      <c r="B1037" s="16" t="n">
        <v>203795.77</v>
      </c>
      <c r="C1037" s="16" t="n">
        <v>203355.76</v>
      </c>
      <c r="D1037" s="26" t="n">
        <v>7.685</v>
      </c>
      <c r="E1037" s="6" t="n">
        <v>647</v>
      </c>
      <c r="F1037" s="11" t="n">
        <v>89</v>
      </c>
      <c r="G1037" s="11" t="n">
        <v>36.6</v>
      </c>
      <c r="H1037" s="6" t="n">
        <v>3</v>
      </c>
      <c r="I1037" s="6" t="n">
        <v>357</v>
      </c>
      <c r="J1037" s="5" t="inlineStr">
        <is>
          <t>OH</t>
        </is>
      </c>
      <c r="K1037" s="5" t="inlineStr">
        <is>
          <t>SFR</t>
        </is>
      </c>
      <c r="L1037" s="5" t="inlineStr">
        <is>
          <t>Apex Funding</t>
        </is>
      </c>
      <c r="M1037" s="5" t="inlineStr">
        <is>
          <t>Summit Loan Servicing</t>
        </is>
      </c>
    </row>
    <row r="1038">
      <c r="A1038" s="7" t="inlineStr">
        <is>
          <t>L101033</t>
        </is>
      </c>
      <c r="B1038" s="8" t="n">
        <v>287738.22</v>
      </c>
      <c r="C1038" s="8" t="n">
        <v>284364.96</v>
      </c>
      <c r="D1038" s="27" t="n">
        <v>7.46</v>
      </c>
      <c r="E1038" s="10" t="n">
        <v>735</v>
      </c>
      <c r="F1038" s="12" t="n">
        <v>73.40000000000001</v>
      </c>
      <c r="G1038" s="12" t="n">
        <v>32.8</v>
      </c>
      <c r="H1038" s="10" t="n">
        <v>15</v>
      </c>
      <c r="I1038" s="10" t="n">
        <v>345</v>
      </c>
      <c r="J1038" s="7" t="inlineStr">
        <is>
          <t>NC</t>
        </is>
      </c>
      <c r="K1038" s="7" t="inlineStr">
        <is>
          <t>SFR</t>
        </is>
      </c>
      <c r="L1038" s="7" t="inlineStr">
        <is>
          <t>Meridian Home Loans</t>
        </is>
      </c>
      <c r="M1038" s="7" t="inlineStr">
        <is>
          <t>Northgate Servicing</t>
        </is>
      </c>
    </row>
    <row r="1039">
      <c r="A1039" s="5" t="inlineStr">
        <is>
          <t>L101034</t>
        </is>
      </c>
      <c r="B1039" s="16" t="n">
        <v>201839.65</v>
      </c>
      <c r="C1039" s="16" t="n">
        <v>194005.13</v>
      </c>
      <c r="D1039" s="26" t="n">
        <v>7.088</v>
      </c>
      <c r="E1039" s="6" t="n">
        <v>775</v>
      </c>
      <c r="F1039" s="11" t="n">
        <v>86.2</v>
      </c>
      <c r="G1039" s="11" t="n">
        <v>32.3</v>
      </c>
      <c r="H1039" s="6" t="n">
        <v>12</v>
      </c>
      <c r="I1039" s="6" t="n">
        <v>168</v>
      </c>
      <c r="J1039" s="5" t="inlineStr">
        <is>
          <t>GA</t>
        </is>
      </c>
      <c r="K1039" s="5" t="inlineStr">
        <is>
          <t>SFR</t>
        </is>
      </c>
      <c r="L1039" s="5" t="inlineStr">
        <is>
          <t>Apex Funding</t>
        </is>
      </c>
      <c r="M1039" s="5" t="inlineStr">
        <is>
          <t>Pier Asset Mgmt</t>
        </is>
      </c>
    </row>
    <row r="1040">
      <c r="A1040" s="7" t="inlineStr">
        <is>
          <t>L101035</t>
        </is>
      </c>
      <c r="B1040" s="8" t="n">
        <v>242683.3</v>
      </c>
      <c r="C1040" s="8" t="n">
        <v>233182.08</v>
      </c>
      <c r="D1040" s="27" t="n">
        <v>7.987</v>
      </c>
      <c r="E1040" s="10" t="n">
        <v>742</v>
      </c>
      <c r="F1040" s="12" t="n">
        <v>56.3</v>
      </c>
      <c r="G1040" s="12" t="n">
        <v>26.3</v>
      </c>
      <c r="H1040" s="10" t="n">
        <v>13</v>
      </c>
      <c r="I1040" s="10" t="n">
        <v>167</v>
      </c>
      <c r="J1040" s="7" t="inlineStr">
        <is>
          <t>GA</t>
        </is>
      </c>
      <c r="K1040" s="7" t="inlineStr">
        <is>
          <t>SFR</t>
        </is>
      </c>
      <c r="L1040" s="7" t="inlineStr">
        <is>
          <t>Apex Funding</t>
        </is>
      </c>
      <c r="M1040" s="7" t="inlineStr">
        <is>
          <t>Northgate Servicing</t>
        </is>
      </c>
    </row>
    <row r="1041">
      <c r="A1041" s="5" t="inlineStr">
        <is>
          <t>L101036</t>
        </is>
      </c>
      <c r="B1041" s="16" t="n">
        <v>342884.08</v>
      </c>
      <c r="C1041" s="16" t="n">
        <v>321917.92</v>
      </c>
      <c r="D1041" s="26" t="n">
        <v>5.107</v>
      </c>
      <c r="E1041" s="6" t="n">
        <v>723</v>
      </c>
      <c r="F1041" s="11" t="n">
        <v>82.59999999999999</v>
      </c>
      <c r="G1041" s="11" t="n">
        <v>40.5</v>
      </c>
      <c r="H1041" s="6" t="n">
        <v>47</v>
      </c>
      <c r="I1041" s="6" t="n">
        <v>313</v>
      </c>
      <c r="J1041" s="5" t="inlineStr">
        <is>
          <t>GA</t>
        </is>
      </c>
      <c r="K1041" s="5" t="inlineStr">
        <is>
          <t>SFR</t>
        </is>
      </c>
      <c r="L1041" s="5" t="inlineStr">
        <is>
          <t>Coastal Mortgage Co</t>
        </is>
      </c>
      <c r="M1041" s="5" t="inlineStr">
        <is>
          <t>Northgate Servicing</t>
        </is>
      </c>
    </row>
    <row r="1042">
      <c r="A1042" s="7" t="inlineStr">
        <is>
          <t>L101037</t>
        </is>
      </c>
      <c r="B1042" s="8" t="n">
        <v>199741.64</v>
      </c>
      <c r="C1042" s="8" t="n">
        <v>194460.4</v>
      </c>
      <c r="D1042" s="27" t="n">
        <v>7.633</v>
      </c>
      <c r="E1042" s="10" t="n">
        <v>710</v>
      </c>
      <c r="F1042" s="12" t="n">
        <v>64.7</v>
      </c>
      <c r="G1042" s="12" t="n">
        <v>29.4</v>
      </c>
      <c r="H1042" s="10" t="n">
        <v>33</v>
      </c>
      <c r="I1042" s="10" t="n">
        <v>327</v>
      </c>
      <c r="J1042" s="7" t="inlineStr">
        <is>
          <t>OH</t>
        </is>
      </c>
      <c r="K1042" s="7" t="inlineStr">
        <is>
          <t>Condo</t>
        </is>
      </c>
      <c r="L1042" s="7" t="inlineStr">
        <is>
          <t>Coastal Mortgage Co</t>
        </is>
      </c>
      <c r="M1042" s="7" t="inlineStr">
        <is>
          <t>Pier Asset Mgmt</t>
        </is>
      </c>
    </row>
    <row r="1043">
      <c r="A1043" s="5" t="inlineStr">
        <is>
          <t>L101038</t>
        </is>
      </c>
      <c r="B1043" s="16" t="n">
        <v>321897.2</v>
      </c>
      <c r="C1043" s="16" t="n">
        <v>312205.68</v>
      </c>
      <c r="D1043" s="26" t="n">
        <v>5.508</v>
      </c>
      <c r="E1043" s="6" t="n">
        <v>669</v>
      </c>
      <c r="F1043" s="11" t="n">
        <v>54.2</v>
      </c>
      <c r="G1043" s="11" t="n">
        <v>44.8</v>
      </c>
      <c r="H1043" s="6" t="n">
        <v>26</v>
      </c>
      <c r="I1043" s="6" t="n">
        <v>334</v>
      </c>
      <c r="J1043" s="5" t="inlineStr">
        <is>
          <t>AZ</t>
        </is>
      </c>
      <c r="K1043" s="5" t="inlineStr">
        <is>
          <t>SFR</t>
        </is>
      </c>
      <c r="L1043" s="5" t="inlineStr">
        <is>
          <t>Highline Capital</t>
        </is>
      </c>
      <c r="M1043" s="5" t="inlineStr">
        <is>
          <t>Summit Loan Servicing</t>
        </is>
      </c>
    </row>
    <row r="1044">
      <c r="A1044" s="7" t="inlineStr">
        <is>
          <t>L101039</t>
        </is>
      </c>
      <c r="B1044" s="8" t="n">
        <v>307764.6</v>
      </c>
      <c r="C1044" s="8" t="n">
        <v>297961.23</v>
      </c>
      <c r="D1044" s="27" t="n">
        <v>5.892</v>
      </c>
      <c r="E1044" s="10" t="n">
        <v>711</v>
      </c>
      <c r="F1044" s="12" t="n">
        <v>60.5</v>
      </c>
      <c r="G1044" s="12" t="n">
        <v>25.7</v>
      </c>
      <c r="H1044" s="10" t="n">
        <v>9</v>
      </c>
      <c r="I1044" s="10" t="n">
        <v>171</v>
      </c>
      <c r="J1044" s="7" t="inlineStr">
        <is>
          <t>CA</t>
        </is>
      </c>
      <c r="K1044" s="7" t="inlineStr">
        <is>
          <t>Condo</t>
        </is>
      </c>
      <c r="L1044" s="7" t="inlineStr">
        <is>
          <t>Apex Funding</t>
        </is>
      </c>
      <c r="M1044" s="7" t="inlineStr">
        <is>
          <t>Summit Loan Servicing</t>
        </is>
      </c>
    </row>
    <row r="1045">
      <c r="A1045" s="5" t="inlineStr">
        <is>
          <t>L101040</t>
        </is>
      </c>
      <c r="B1045" s="16" t="n">
        <v>173828.22</v>
      </c>
      <c r="C1045" s="16" t="n">
        <v>167319.39</v>
      </c>
      <c r="D1045" s="26" t="n">
        <v>6.905</v>
      </c>
      <c r="E1045" s="6" t="n">
        <v>784</v>
      </c>
      <c r="F1045" s="11" t="n">
        <v>74.09999999999999</v>
      </c>
      <c r="G1045" s="11" t="n">
        <v>37</v>
      </c>
      <c r="H1045" s="6" t="n">
        <v>40</v>
      </c>
      <c r="I1045" s="6" t="n">
        <v>320</v>
      </c>
      <c r="J1045" s="5" t="inlineStr">
        <is>
          <t>GA</t>
        </is>
      </c>
      <c r="K1045" s="5" t="inlineStr">
        <is>
          <t>SFR</t>
        </is>
      </c>
      <c r="L1045" s="5" t="inlineStr">
        <is>
          <t>Coastal Mortgage Co</t>
        </is>
      </c>
      <c r="M1045" s="5" t="inlineStr">
        <is>
          <t>Northgate Servicing</t>
        </is>
      </c>
    </row>
    <row r="1046">
      <c r="A1046" s="7" t="inlineStr">
        <is>
          <t>L101041</t>
        </is>
      </c>
      <c r="B1046" s="8" t="n">
        <v>341418.05</v>
      </c>
      <c r="C1046" s="8" t="n">
        <v>332796.49</v>
      </c>
      <c r="D1046" s="27" t="n">
        <v>7.51</v>
      </c>
      <c r="E1046" s="10" t="n">
        <v>708</v>
      </c>
      <c r="F1046" s="12" t="n">
        <v>64.09999999999999</v>
      </c>
      <c r="G1046" s="12" t="n">
        <v>45.2</v>
      </c>
      <c r="H1046" s="10" t="n">
        <v>31</v>
      </c>
      <c r="I1046" s="10" t="n">
        <v>329</v>
      </c>
      <c r="J1046" s="7" t="inlineStr">
        <is>
          <t>FL</t>
        </is>
      </c>
      <c r="K1046" s="7" t="inlineStr">
        <is>
          <t>2-4 Unit</t>
        </is>
      </c>
      <c r="L1046" s="7" t="inlineStr">
        <is>
          <t>Apex Funding</t>
        </is>
      </c>
      <c r="M1046" s="7" t="inlineStr">
        <is>
          <t>Northgate Servicing</t>
        </is>
      </c>
    </row>
    <row r="1047">
      <c r="A1047" s="5" t="inlineStr">
        <is>
          <t>L101042</t>
        </is>
      </c>
      <c r="B1047" s="16" t="n">
        <v>310052.9</v>
      </c>
      <c r="C1047" s="16" t="n">
        <v>300862.76</v>
      </c>
      <c r="D1047" s="26" t="n">
        <v>5.362</v>
      </c>
      <c r="E1047" s="6" t="n">
        <v>666</v>
      </c>
      <c r="F1047" s="11" t="n">
        <v>78.5</v>
      </c>
      <c r="G1047" s="11" t="n">
        <v>18.8</v>
      </c>
      <c r="H1047" s="6" t="n">
        <v>25</v>
      </c>
      <c r="I1047" s="6" t="n">
        <v>335</v>
      </c>
      <c r="J1047" s="5" t="inlineStr">
        <is>
          <t>TX</t>
        </is>
      </c>
      <c r="K1047" s="5" t="inlineStr">
        <is>
          <t>SFR</t>
        </is>
      </c>
      <c r="L1047" s="5" t="inlineStr">
        <is>
          <t>Meridian Home Loans</t>
        </is>
      </c>
      <c r="M1047" s="5" t="inlineStr">
        <is>
          <t>Northgate Servicing</t>
        </is>
      </c>
    </row>
    <row r="1048">
      <c r="A1048" s="7" t="inlineStr">
        <is>
          <t>L101043</t>
        </is>
      </c>
      <c r="B1048" s="8" t="n">
        <v>251619.69</v>
      </c>
      <c r="C1048" s="8" t="n">
        <v>245744.81</v>
      </c>
      <c r="D1048" s="27" t="n">
        <v>5.939</v>
      </c>
      <c r="E1048" s="10" t="n">
        <v>688</v>
      </c>
      <c r="F1048" s="12" t="n">
        <v>52.3</v>
      </c>
      <c r="G1048" s="12" t="n">
        <v>52.1</v>
      </c>
      <c r="H1048" s="10" t="n">
        <v>22</v>
      </c>
      <c r="I1048" s="10" t="n">
        <v>338</v>
      </c>
      <c r="J1048" s="7" t="inlineStr">
        <is>
          <t>OH</t>
        </is>
      </c>
      <c r="K1048" s="7" t="inlineStr">
        <is>
          <t>Condo</t>
        </is>
      </c>
      <c r="L1048" s="7" t="inlineStr">
        <is>
          <t>Coastal Mortgage Co</t>
        </is>
      </c>
      <c r="M1048" s="7" t="inlineStr">
        <is>
          <t>Pier Asset Mgmt</t>
        </is>
      </c>
    </row>
    <row r="1049">
      <c r="A1049" s="5" t="inlineStr">
        <is>
          <t>L101044</t>
        </is>
      </c>
      <c r="B1049" s="16" t="n">
        <v>185941.39</v>
      </c>
      <c r="C1049" s="16" t="n">
        <v>181251.48</v>
      </c>
      <c r="D1049" s="26" t="n">
        <v>6.488</v>
      </c>
      <c r="E1049" s="6" t="n">
        <v>726</v>
      </c>
      <c r="F1049" s="11" t="n">
        <v>48.5</v>
      </c>
      <c r="G1049" s="11" t="n">
        <v>32.6</v>
      </c>
      <c r="H1049" s="6" t="n">
        <v>26</v>
      </c>
      <c r="I1049" s="6" t="n">
        <v>334</v>
      </c>
      <c r="J1049" s="5" t="inlineStr">
        <is>
          <t>OH</t>
        </is>
      </c>
      <c r="K1049" s="5" t="inlineStr">
        <is>
          <t>2-4 Unit</t>
        </is>
      </c>
      <c r="L1049" s="5" t="inlineStr">
        <is>
          <t>Apex Funding</t>
        </is>
      </c>
      <c r="M1049" s="5" t="inlineStr">
        <is>
          <t>Northgate Servicing</t>
        </is>
      </c>
    </row>
    <row r="1050">
      <c r="A1050" s="7" t="inlineStr">
        <is>
          <t>L101045</t>
        </is>
      </c>
      <c r="B1050" s="8" t="n">
        <v>179742.02</v>
      </c>
      <c r="C1050" s="8" t="n">
        <v>172155.34</v>
      </c>
      <c r="D1050" s="27" t="n">
        <v>6.232</v>
      </c>
      <c r="E1050" s="10" t="n">
        <v>694</v>
      </c>
      <c r="F1050" s="12" t="n">
        <v>90.5</v>
      </c>
      <c r="G1050" s="12" t="n">
        <v>37.1</v>
      </c>
      <c r="H1050" s="10" t="n">
        <v>40</v>
      </c>
      <c r="I1050" s="10" t="n">
        <v>320</v>
      </c>
      <c r="J1050" s="7" t="inlineStr">
        <is>
          <t>WA</t>
        </is>
      </c>
      <c r="K1050" s="7" t="inlineStr">
        <is>
          <t>Multifamily</t>
        </is>
      </c>
      <c r="L1050" s="7" t="inlineStr">
        <is>
          <t>Coastal Mortgage Co</t>
        </is>
      </c>
      <c r="M1050" s="7" t="inlineStr">
        <is>
          <t>Northgate Servicing</t>
        </is>
      </c>
    </row>
    <row r="1051">
      <c r="A1051" s="5" t="inlineStr">
        <is>
          <t>L101046</t>
        </is>
      </c>
      <c r="B1051" s="16" t="n">
        <v>201152.4</v>
      </c>
      <c r="C1051" s="16" t="n">
        <v>177654.46</v>
      </c>
      <c r="D1051" s="26" t="n">
        <v>7.169</v>
      </c>
      <c r="E1051" s="6" t="n">
        <v>742</v>
      </c>
      <c r="F1051" s="11" t="n">
        <v>84.8</v>
      </c>
      <c r="G1051" s="11" t="n">
        <v>40.6</v>
      </c>
      <c r="H1051" s="6" t="n">
        <v>34</v>
      </c>
      <c r="I1051" s="6" t="n">
        <v>146</v>
      </c>
      <c r="J1051" s="5" t="inlineStr">
        <is>
          <t>NY</t>
        </is>
      </c>
      <c r="K1051" s="5" t="inlineStr">
        <is>
          <t>2-4 Unit</t>
        </is>
      </c>
      <c r="L1051" s="5" t="inlineStr">
        <is>
          <t>Meridian Home Loans</t>
        </is>
      </c>
      <c r="M1051" s="5" t="inlineStr">
        <is>
          <t>Northgate Servicing</t>
        </is>
      </c>
    </row>
    <row r="1052">
      <c r="A1052" s="7" t="inlineStr">
        <is>
          <t>L101047</t>
        </is>
      </c>
      <c r="B1052" s="8" t="n">
        <v>293580.77</v>
      </c>
      <c r="C1052" s="8" t="n">
        <v>289947.68</v>
      </c>
      <c r="D1052" s="27" t="n">
        <v>9.492000000000001</v>
      </c>
      <c r="E1052" s="10" t="n">
        <v>744</v>
      </c>
      <c r="F1052" s="12" t="n">
        <v>61.4</v>
      </c>
      <c r="G1052" s="12" t="n">
        <v>41.8</v>
      </c>
      <c r="H1052" s="10" t="n">
        <v>23</v>
      </c>
      <c r="I1052" s="10" t="n">
        <v>337</v>
      </c>
      <c r="J1052" s="7" t="inlineStr">
        <is>
          <t>IL</t>
        </is>
      </c>
      <c r="K1052" s="7" t="inlineStr">
        <is>
          <t>SFR</t>
        </is>
      </c>
      <c r="L1052" s="7" t="inlineStr">
        <is>
          <t>Apex Funding</t>
        </is>
      </c>
      <c r="M1052" s="7" t="inlineStr">
        <is>
          <t>Pier Asset Mgmt</t>
        </is>
      </c>
    </row>
    <row r="1053">
      <c r="A1053" s="5" t="inlineStr">
        <is>
          <t>L101048</t>
        </is>
      </c>
      <c r="B1053" s="16" t="n">
        <v>173777.53</v>
      </c>
      <c r="C1053" s="16" t="n">
        <v>168573.54</v>
      </c>
      <c r="D1053" s="26" t="n">
        <v>6.777</v>
      </c>
      <c r="E1053" s="6" t="n">
        <v>764</v>
      </c>
      <c r="F1053" s="11" t="n">
        <v>74</v>
      </c>
      <c r="G1053" s="11" t="n">
        <v>38.2</v>
      </c>
      <c r="H1053" s="6" t="n">
        <v>32</v>
      </c>
      <c r="I1053" s="6" t="n">
        <v>328</v>
      </c>
      <c r="J1053" s="5" t="inlineStr">
        <is>
          <t>AZ</t>
        </is>
      </c>
      <c r="K1053" s="5" t="inlineStr">
        <is>
          <t>Multifamily</t>
        </is>
      </c>
      <c r="L1053" s="5" t="inlineStr">
        <is>
          <t>Highline Capital</t>
        </is>
      </c>
      <c r="M1053" s="5" t="inlineStr">
        <is>
          <t>Pier Asset Mgmt</t>
        </is>
      </c>
    </row>
    <row r="1054">
      <c r="A1054" s="7" t="inlineStr">
        <is>
          <t>L101049</t>
        </is>
      </c>
      <c r="B1054" s="8" t="n">
        <v>282979.37</v>
      </c>
      <c r="C1054" s="8" t="n">
        <v>268516.31</v>
      </c>
      <c r="D1054" s="27" t="n">
        <v>5.738</v>
      </c>
      <c r="E1054" s="10" t="n">
        <v>793</v>
      </c>
      <c r="F1054" s="12" t="n">
        <v>86.2</v>
      </c>
      <c r="G1054" s="12" t="n">
        <v>44</v>
      </c>
      <c r="H1054" s="10" t="n">
        <v>44</v>
      </c>
      <c r="I1054" s="10" t="n">
        <v>316</v>
      </c>
      <c r="J1054" s="7" t="inlineStr">
        <is>
          <t>TX</t>
        </is>
      </c>
      <c r="K1054" s="7" t="inlineStr">
        <is>
          <t>2-4 Unit</t>
        </is>
      </c>
      <c r="L1054" s="7" t="inlineStr">
        <is>
          <t>Coastal Mortgage Co</t>
        </is>
      </c>
      <c r="M1054" s="7" t="inlineStr">
        <is>
          <t>Summit Loan Servicing</t>
        </is>
      </c>
    </row>
    <row r="1055">
      <c r="A1055" s="5" t="inlineStr">
        <is>
          <t>L101050</t>
        </is>
      </c>
      <c r="B1055" s="16" t="n">
        <v>157217.51</v>
      </c>
      <c r="C1055" s="16" t="n">
        <v>154226.38</v>
      </c>
      <c r="D1055" s="26" t="n">
        <v>5.233</v>
      </c>
      <c r="E1055" s="6" t="n">
        <v>770</v>
      </c>
      <c r="F1055" s="11" t="n">
        <v>79</v>
      </c>
      <c r="G1055" s="11" t="n">
        <v>40.2</v>
      </c>
      <c r="H1055" s="6" t="n">
        <v>16</v>
      </c>
      <c r="I1055" s="6" t="n">
        <v>344</v>
      </c>
      <c r="J1055" s="5" t="inlineStr">
        <is>
          <t>CA</t>
        </is>
      </c>
      <c r="K1055" s="5" t="inlineStr">
        <is>
          <t>SFR</t>
        </is>
      </c>
      <c r="L1055" s="5" t="inlineStr">
        <is>
          <t>Highline Capital</t>
        </is>
      </c>
      <c r="M1055" s="5" t="inlineStr">
        <is>
          <t>Summit Loan Servicing</t>
        </is>
      </c>
    </row>
    <row r="1056">
      <c r="A1056" s="7" t="inlineStr">
        <is>
          <t>L101051</t>
        </is>
      </c>
      <c r="B1056" s="8" t="n">
        <v>226064.58</v>
      </c>
      <c r="C1056" s="8" t="n">
        <v>215496.44</v>
      </c>
      <c r="D1056" s="27" t="n">
        <v>6.107</v>
      </c>
      <c r="E1056" s="10" t="n">
        <v>664</v>
      </c>
      <c r="F1056" s="12" t="n">
        <v>75.8</v>
      </c>
      <c r="G1056" s="12" t="n">
        <v>50.1</v>
      </c>
      <c r="H1056" s="10" t="n">
        <v>43</v>
      </c>
      <c r="I1056" s="10" t="n">
        <v>317</v>
      </c>
      <c r="J1056" s="7" t="inlineStr">
        <is>
          <t>IL</t>
        </is>
      </c>
      <c r="K1056" s="7" t="inlineStr">
        <is>
          <t>SFR</t>
        </is>
      </c>
      <c r="L1056" s="7" t="inlineStr">
        <is>
          <t>Highline Capital</t>
        </is>
      </c>
      <c r="M1056" s="7" t="inlineStr">
        <is>
          <t>Summit Loan Servicing</t>
        </is>
      </c>
    </row>
    <row r="1057">
      <c r="A1057" s="5" t="inlineStr">
        <is>
          <t>L101052</t>
        </is>
      </c>
      <c r="B1057" s="16" t="n">
        <v>252300.65</v>
      </c>
      <c r="C1057" s="16" t="n">
        <v>243837.37</v>
      </c>
      <c r="D1057" s="26" t="n">
        <v>5.554</v>
      </c>
      <c r="E1057" s="6" t="n">
        <v>665</v>
      </c>
      <c r="F1057" s="11" t="n">
        <v>87.09999999999999</v>
      </c>
      <c r="G1057" s="11" t="n">
        <v>40.2</v>
      </c>
      <c r="H1057" s="6" t="n">
        <v>29</v>
      </c>
      <c r="I1057" s="6" t="n">
        <v>331</v>
      </c>
      <c r="J1057" s="5" t="inlineStr">
        <is>
          <t>NC</t>
        </is>
      </c>
      <c r="K1057" s="5" t="inlineStr">
        <is>
          <t>Multifamily</t>
        </is>
      </c>
      <c r="L1057" s="5" t="inlineStr">
        <is>
          <t>Apex Funding</t>
        </is>
      </c>
      <c r="M1057" s="5" t="inlineStr">
        <is>
          <t>Northgate Servicing</t>
        </is>
      </c>
    </row>
    <row r="1058">
      <c r="A1058" s="7" t="inlineStr">
        <is>
          <t>L101053</t>
        </is>
      </c>
      <c r="B1058" s="8" t="n">
        <v>571371.88</v>
      </c>
      <c r="C1058" s="8" t="n">
        <v>566905.01</v>
      </c>
      <c r="D1058" s="27" t="n">
        <v>6.821</v>
      </c>
      <c r="E1058" s="10" t="n">
        <v>711</v>
      </c>
      <c r="F1058" s="12" t="n">
        <v>65.2</v>
      </c>
      <c r="G1058" s="12" t="n">
        <v>51.7</v>
      </c>
      <c r="H1058" s="10" t="n">
        <v>9</v>
      </c>
      <c r="I1058" s="10" t="n">
        <v>351</v>
      </c>
      <c r="J1058" s="7" t="inlineStr">
        <is>
          <t>IL</t>
        </is>
      </c>
      <c r="K1058" s="7" t="inlineStr">
        <is>
          <t>SFR</t>
        </is>
      </c>
      <c r="L1058" s="7" t="inlineStr">
        <is>
          <t>Highline Capital</t>
        </is>
      </c>
      <c r="M1058" s="7" t="inlineStr">
        <is>
          <t>Northgate Servicing</t>
        </is>
      </c>
    </row>
    <row r="1059">
      <c r="A1059" s="5" t="inlineStr">
        <is>
          <t>L101054</t>
        </is>
      </c>
      <c r="B1059" s="16" t="n">
        <v>149932.36</v>
      </c>
      <c r="C1059" s="16" t="n">
        <v>143244.43</v>
      </c>
      <c r="D1059" s="26" t="n">
        <v>6.807</v>
      </c>
      <c r="E1059" s="6" t="n">
        <v>690</v>
      </c>
      <c r="F1059" s="11" t="n">
        <v>74.40000000000001</v>
      </c>
      <c r="G1059" s="11" t="n">
        <v>43.2</v>
      </c>
      <c r="H1059" s="6" t="n">
        <v>46</v>
      </c>
      <c r="I1059" s="6" t="n">
        <v>314</v>
      </c>
      <c r="J1059" s="5" t="inlineStr">
        <is>
          <t>FL</t>
        </is>
      </c>
      <c r="K1059" s="5" t="inlineStr">
        <is>
          <t>Condo</t>
        </is>
      </c>
      <c r="L1059" s="5" t="inlineStr">
        <is>
          <t>Coastal Mortgage Co</t>
        </is>
      </c>
      <c r="M1059" s="5" t="inlineStr">
        <is>
          <t>Summit Loan Servicing</t>
        </is>
      </c>
    </row>
    <row r="1060">
      <c r="A1060" s="7" t="inlineStr">
        <is>
          <t>L101055</t>
        </is>
      </c>
      <c r="B1060" s="8" t="n">
        <v>406445.49</v>
      </c>
      <c r="C1060" s="8" t="n">
        <v>391923.79</v>
      </c>
      <c r="D1060" s="27" t="n">
        <v>5.983</v>
      </c>
      <c r="E1060" s="10" t="n">
        <v>652</v>
      </c>
      <c r="F1060" s="12" t="n">
        <v>73.8</v>
      </c>
      <c r="G1060" s="12" t="n">
        <v>21.6</v>
      </c>
      <c r="H1060" s="10" t="n">
        <v>33</v>
      </c>
      <c r="I1060" s="10" t="n">
        <v>327</v>
      </c>
      <c r="J1060" s="7" t="inlineStr">
        <is>
          <t>GA</t>
        </is>
      </c>
      <c r="K1060" s="7" t="inlineStr">
        <is>
          <t>SFR</t>
        </is>
      </c>
      <c r="L1060" s="7" t="inlineStr">
        <is>
          <t>Highline Capital</t>
        </is>
      </c>
      <c r="M1060" s="7" t="inlineStr">
        <is>
          <t>Northgate Servicing</t>
        </is>
      </c>
    </row>
    <row r="1061">
      <c r="A1061" s="5" t="inlineStr">
        <is>
          <t>L101056</t>
        </is>
      </c>
      <c r="B1061" s="16" t="n">
        <v>255875.13</v>
      </c>
      <c r="C1061" s="16" t="n">
        <v>252533.76</v>
      </c>
      <c r="D1061" s="26" t="n">
        <v>8.186</v>
      </c>
      <c r="E1061" s="6" t="n">
        <v>691</v>
      </c>
      <c r="F1061" s="11" t="n">
        <v>70.7</v>
      </c>
      <c r="G1061" s="11" t="n">
        <v>55</v>
      </c>
      <c r="H1061" s="6" t="n">
        <v>19</v>
      </c>
      <c r="I1061" s="6" t="n">
        <v>341</v>
      </c>
      <c r="J1061" s="5" t="inlineStr">
        <is>
          <t>WA</t>
        </is>
      </c>
      <c r="K1061" s="5" t="inlineStr">
        <is>
          <t>Condo</t>
        </is>
      </c>
      <c r="L1061" s="5" t="inlineStr">
        <is>
          <t>Meridian Home Loans</t>
        </is>
      </c>
      <c r="M1061" s="5" t="inlineStr">
        <is>
          <t>Northgate Servicing</t>
        </is>
      </c>
    </row>
    <row r="1062">
      <c r="A1062" s="7" t="inlineStr">
        <is>
          <t>L101057</t>
        </is>
      </c>
      <c r="B1062" s="8" t="n">
        <v>280382.54</v>
      </c>
      <c r="C1062" s="8" t="n">
        <v>277076.82</v>
      </c>
      <c r="D1062" s="27" t="n">
        <v>5.738</v>
      </c>
      <c r="E1062" s="10" t="n">
        <v>689</v>
      </c>
      <c r="F1062" s="12" t="n">
        <v>69.3</v>
      </c>
      <c r="G1062" s="12" t="n">
        <v>31.4</v>
      </c>
      <c r="H1062" s="10" t="n">
        <v>11</v>
      </c>
      <c r="I1062" s="10" t="n">
        <v>349</v>
      </c>
      <c r="J1062" s="7" t="inlineStr">
        <is>
          <t>FL</t>
        </is>
      </c>
      <c r="K1062" s="7" t="inlineStr">
        <is>
          <t>SFR</t>
        </is>
      </c>
      <c r="L1062" s="7" t="inlineStr">
        <is>
          <t>Coastal Mortgage Co</t>
        </is>
      </c>
      <c r="M1062" s="7" t="inlineStr">
        <is>
          <t>Pier Asset Mgmt</t>
        </is>
      </c>
    </row>
    <row r="1063">
      <c r="A1063" s="5" t="inlineStr">
        <is>
          <t>L101058</t>
        </is>
      </c>
      <c r="B1063" s="16" t="n">
        <v>253070.09</v>
      </c>
      <c r="C1063" s="16" t="n">
        <v>241318.99</v>
      </c>
      <c r="D1063" s="26" t="n">
        <v>6.293</v>
      </c>
      <c r="E1063" s="6" t="n">
        <v>678</v>
      </c>
      <c r="F1063" s="11" t="n">
        <v>74.90000000000001</v>
      </c>
      <c r="G1063" s="11" t="n">
        <v>48</v>
      </c>
      <c r="H1063" s="6" t="n">
        <v>44</v>
      </c>
      <c r="I1063" s="6" t="n">
        <v>316</v>
      </c>
      <c r="J1063" s="5" t="inlineStr">
        <is>
          <t>IL</t>
        </is>
      </c>
      <c r="K1063" s="5" t="inlineStr">
        <is>
          <t>Condo</t>
        </is>
      </c>
      <c r="L1063" s="5" t="inlineStr">
        <is>
          <t>Apex Funding</t>
        </is>
      </c>
      <c r="M1063" s="5" t="inlineStr">
        <is>
          <t>Northgate Servicing</t>
        </is>
      </c>
    </row>
    <row r="1064">
      <c r="A1064" s="7" t="inlineStr">
        <is>
          <t>L101059</t>
        </is>
      </c>
      <c r="B1064" s="8" t="n">
        <v>283694.83</v>
      </c>
      <c r="C1064" s="8" t="n">
        <v>273498.23</v>
      </c>
      <c r="D1064" s="27" t="n">
        <v>6.975</v>
      </c>
      <c r="E1064" s="10" t="n">
        <v>698</v>
      </c>
      <c r="F1064" s="12" t="n">
        <v>74.40000000000001</v>
      </c>
      <c r="G1064" s="12" t="n">
        <v>36.2</v>
      </c>
      <c r="H1064" s="10" t="n">
        <v>39</v>
      </c>
      <c r="I1064" s="10" t="n">
        <v>321</v>
      </c>
      <c r="J1064" s="7" t="inlineStr">
        <is>
          <t>NY</t>
        </is>
      </c>
      <c r="K1064" s="7" t="inlineStr">
        <is>
          <t>SFR</t>
        </is>
      </c>
      <c r="L1064" s="7" t="inlineStr">
        <is>
          <t>Meridian Home Loans</t>
        </is>
      </c>
      <c r="M1064" s="7" t="inlineStr">
        <is>
          <t>Northgate Servicing</t>
        </is>
      </c>
    </row>
    <row r="1065">
      <c r="A1065" s="5" t="inlineStr">
        <is>
          <t>L101060</t>
        </is>
      </c>
      <c r="B1065" s="16" t="n">
        <v>230086.41</v>
      </c>
      <c r="C1065" s="16" t="n">
        <v>229539.62</v>
      </c>
      <c r="D1065" s="26" t="n">
        <v>7.203</v>
      </c>
      <c r="E1065" s="6" t="n">
        <v>780</v>
      </c>
      <c r="F1065" s="11" t="n">
        <v>61.4</v>
      </c>
      <c r="G1065" s="11" t="n">
        <v>44.5</v>
      </c>
      <c r="H1065" s="6" t="n">
        <v>3</v>
      </c>
      <c r="I1065" s="6" t="n">
        <v>357</v>
      </c>
      <c r="J1065" s="5" t="inlineStr">
        <is>
          <t>FL</t>
        </is>
      </c>
      <c r="K1065" s="5" t="inlineStr">
        <is>
          <t>2-4 Unit</t>
        </is>
      </c>
      <c r="L1065" s="5" t="inlineStr">
        <is>
          <t>Highline Capital</t>
        </is>
      </c>
      <c r="M1065" s="5" t="inlineStr">
        <is>
          <t>Northgate Servicing</t>
        </is>
      </c>
    </row>
    <row r="1066">
      <c r="A1066" s="7" t="inlineStr">
        <is>
          <t>L101061</t>
        </is>
      </c>
      <c r="B1066" s="8" t="n">
        <v>403897.97</v>
      </c>
      <c r="C1066" s="8" t="n">
        <v>394133.08</v>
      </c>
      <c r="D1066" s="27" t="n">
        <v>7.55</v>
      </c>
      <c r="E1066" s="10" t="n">
        <v>726</v>
      </c>
      <c r="F1066" s="12" t="n">
        <v>83.59999999999999</v>
      </c>
      <c r="G1066" s="12" t="n">
        <v>30.5</v>
      </c>
      <c r="H1066" s="10" t="n">
        <v>30</v>
      </c>
      <c r="I1066" s="10" t="n">
        <v>330</v>
      </c>
      <c r="J1066" s="7" t="inlineStr">
        <is>
          <t>NC</t>
        </is>
      </c>
      <c r="K1066" s="7" t="inlineStr">
        <is>
          <t>SFR</t>
        </is>
      </c>
      <c r="L1066" s="7" t="inlineStr">
        <is>
          <t>Highline Capital</t>
        </is>
      </c>
      <c r="M1066" s="7" t="inlineStr">
        <is>
          <t>Summit Loan Servicing</t>
        </is>
      </c>
    </row>
    <row r="1067">
      <c r="A1067" s="5" t="inlineStr">
        <is>
          <t>L101062</t>
        </is>
      </c>
      <c r="B1067" s="16" t="n">
        <v>206950.54</v>
      </c>
      <c r="C1067" s="16" t="n">
        <v>205873.85</v>
      </c>
      <c r="D1067" s="26" t="n">
        <v>6.786</v>
      </c>
      <c r="E1067" s="6" t="n">
        <v>820</v>
      </c>
      <c r="F1067" s="11" t="n">
        <v>62.3</v>
      </c>
      <c r="G1067" s="11" t="n">
        <v>41</v>
      </c>
      <c r="H1067" s="6" t="n">
        <v>6</v>
      </c>
      <c r="I1067" s="6" t="n">
        <v>354</v>
      </c>
      <c r="J1067" s="5" t="inlineStr">
        <is>
          <t>NY</t>
        </is>
      </c>
      <c r="K1067" s="5" t="inlineStr">
        <is>
          <t>SFR</t>
        </is>
      </c>
      <c r="L1067" s="5" t="inlineStr">
        <is>
          <t>Meridian Home Loans</t>
        </is>
      </c>
      <c r="M1067" s="5" t="inlineStr">
        <is>
          <t>Northgate Servicing</t>
        </is>
      </c>
    </row>
    <row r="1068">
      <c r="A1068" s="7" t="inlineStr">
        <is>
          <t>L101063</t>
        </is>
      </c>
      <c r="B1068" s="8" t="n">
        <v>360873.26</v>
      </c>
      <c r="C1068" s="8" t="n">
        <v>344776.87</v>
      </c>
      <c r="D1068" s="27" t="n">
        <v>7.346</v>
      </c>
      <c r="E1068" s="10" t="n">
        <v>724</v>
      </c>
      <c r="F1068" s="12" t="n">
        <v>71.40000000000001</v>
      </c>
      <c r="G1068" s="12" t="n">
        <v>34</v>
      </c>
      <c r="H1068" s="10" t="n">
        <v>14</v>
      </c>
      <c r="I1068" s="10" t="n">
        <v>166</v>
      </c>
      <c r="J1068" s="7" t="inlineStr">
        <is>
          <t>NC</t>
        </is>
      </c>
      <c r="K1068" s="7" t="inlineStr">
        <is>
          <t>SFR</t>
        </is>
      </c>
      <c r="L1068" s="7" t="inlineStr">
        <is>
          <t>Highline Capital</t>
        </is>
      </c>
      <c r="M1068" s="7" t="inlineStr">
        <is>
          <t>Summit Loan Servicing</t>
        </is>
      </c>
    </row>
    <row r="1069">
      <c r="A1069" s="5" t="inlineStr">
        <is>
          <t>L101064</t>
        </is>
      </c>
      <c r="B1069" s="16" t="n">
        <v>193778.59</v>
      </c>
      <c r="C1069" s="16" t="n">
        <v>188014.59</v>
      </c>
      <c r="D1069" s="26" t="n">
        <v>5.801</v>
      </c>
      <c r="E1069" s="6" t="n">
        <v>699</v>
      </c>
      <c r="F1069" s="11" t="n">
        <v>70.5</v>
      </c>
      <c r="G1069" s="11" t="n">
        <v>48.6</v>
      </c>
      <c r="H1069" s="6" t="n">
        <v>27</v>
      </c>
      <c r="I1069" s="6" t="n">
        <v>333</v>
      </c>
      <c r="J1069" s="5" t="inlineStr">
        <is>
          <t>CA</t>
        </is>
      </c>
      <c r="K1069" s="5" t="inlineStr">
        <is>
          <t>SFR</t>
        </is>
      </c>
      <c r="L1069" s="5" t="inlineStr">
        <is>
          <t>Meridian Home Loans</t>
        </is>
      </c>
      <c r="M1069" s="5" t="inlineStr">
        <is>
          <t>Summit Loan Servicing</t>
        </is>
      </c>
    </row>
    <row r="1070">
      <c r="A1070" s="7" t="inlineStr">
        <is>
          <t>L101065</t>
        </is>
      </c>
      <c r="B1070" s="8" t="n">
        <v>237734.99</v>
      </c>
      <c r="C1070" s="8" t="n">
        <v>228611.74</v>
      </c>
      <c r="D1070" s="27" t="n">
        <v>7.226</v>
      </c>
      <c r="E1070" s="10" t="n">
        <v>715</v>
      </c>
      <c r="F1070" s="12" t="n">
        <v>78.3</v>
      </c>
      <c r="G1070" s="12" t="n">
        <v>39.5</v>
      </c>
      <c r="H1070" s="10" t="n">
        <v>12</v>
      </c>
      <c r="I1070" s="10" t="n">
        <v>168</v>
      </c>
      <c r="J1070" s="7" t="inlineStr">
        <is>
          <t>NC</t>
        </is>
      </c>
      <c r="K1070" s="7" t="inlineStr">
        <is>
          <t>Multifamily</t>
        </is>
      </c>
      <c r="L1070" s="7" t="inlineStr">
        <is>
          <t>Meridian Home Loans</t>
        </is>
      </c>
      <c r="M1070" s="7" t="inlineStr">
        <is>
          <t>Northgate Servicing</t>
        </is>
      </c>
    </row>
    <row r="1071">
      <c r="A1071" s="5" t="inlineStr">
        <is>
          <t>L101066</t>
        </is>
      </c>
      <c r="B1071" s="16" t="n">
        <v>166843.76</v>
      </c>
      <c r="C1071" s="16" t="n">
        <v>163318.87</v>
      </c>
      <c r="D1071" s="26" t="n">
        <v>7.214</v>
      </c>
      <c r="E1071" s="6" t="n">
        <v>729</v>
      </c>
      <c r="F1071" s="11" t="n">
        <v>48.6</v>
      </c>
      <c r="G1071" s="11" t="n">
        <v>43.5</v>
      </c>
      <c r="H1071" s="6" t="n">
        <v>25</v>
      </c>
      <c r="I1071" s="6" t="n">
        <v>335</v>
      </c>
      <c r="J1071" s="5" t="inlineStr">
        <is>
          <t>TX</t>
        </is>
      </c>
      <c r="K1071" s="5" t="inlineStr">
        <is>
          <t>SFR</t>
        </is>
      </c>
      <c r="L1071" s="5" t="inlineStr">
        <is>
          <t>Highline Capital</t>
        </is>
      </c>
      <c r="M1071" s="5" t="inlineStr">
        <is>
          <t>Northgate Servicing</t>
        </is>
      </c>
    </row>
    <row r="1072">
      <c r="A1072" s="7" t="inlineStr">
        <is>
          <t>L101067</t>
        </is>
      </c>
      <c r="B1072" s="8" t="n">
        <v>284719.08</v>
      </c>
      <c r="C1072" s="8" t="n">
        <v>280225.51</v>
      </c>
      <c r="D1072" s="27" t="n">
        <v>7.762</v>
      </c>
      <c r="E1072" s="10" t="n">
        <v>739</v>
      </c>
      <c r="F1072" s="12" t="n">
        <v>84.7</v>
      </c>
      <c r="G1072" s="12" t="n">
        <v>18.7</v>
      </c>
      <c r="H1072" s="10" t="n">
        <v>21</v>
      </c>
      <c r="I1072" s="10" t="n">
        <v>339</v>
      </c>
      <c r="J1072" s="7" t="inlineStr">
        <is>
          <t>NY</t>
        </is>
      </c>
      <c r="K1072" s="7" t="inlineStr">
        <is>
          <t>SFR</t>
        </is>
      </c>
      <c r="L1072" s="7" t="inlineStr">
        <is>
          <t>Apex Funding</t>
        </is>
      </c>
      <c r="M1072" s="7" t="inlineStr">
        <is>
          <t>Northgate Servicing</t>
        </is>
      </c>
    </row>
    <row r="1073">
      <c r="A1073" s="5" t="inlineStr">
        <is>
          <t>L101068</t>
        </is>
      </c>
      <c r="B1073" s="16" t="n">
        <v>402638.37</v>
      </c>
      <c r="C1073" s="16" t="n">
        <v>388046.59</v>
      </c>
      <c r="D1073" s="26" t="n">
        <v>4.898</v>
      </c>
      <c r="E1073" s="6" t="n">
        <v>820</v>
      </c>
      <c r="F1073" s="11" t="n">
        <v>65.90000000000001</v>
      </c>
      <c r="G1073" s="11" t="n">
        <v>35.3</v>
      </c>
      <c r="H1073" s="6" t="n">
        <v>28</v>
      </c>
      <c r="I1073" s="6" t="n">
        <v>332</v>
      </c>
      <c r="J1073" s="5" t="inlineStr">
        <is>
          <t>OH</t>
        </is>
      </c>
      <c r="K1073" s="5" t="inlineStr">
        <is>
          <t>2-4 Unit</t>
        </is>
      </c>
      <c r="L1073" s="5" t="inlineStr">
        <is>
          <t>Highline Capital</t>
        </is>
      </c>
      <c r="M1073" s="5" t="inlineStr">
        <is>
          <t>Pier Asset Mgmt</t>
        </is>
      </c>
    </row>
    <row r="1074">
      <c r="A1074" s="7" t="inlineStr">
        <is>
          <t>L101069</t>
        </is>
      </c>
      <c r="B1074" s="8" t="n">
        <v>236316.04</v>
      </c>
      <c r="C1074" s="8" t="n">
        <v>225759.9</v>
      </c>
      <c r="D1074" s="27" t="n">
        <v>5.584</v>
      </c>
      <c r="E1074" s="10" t="n">
        <v>669</v>
      </c>
      <c r="F1074" s="12" t="n">
        <v>88.59999999999999</v>
      </c>
      <c r="G1074" s="12" t="n">
        <v>39.3</v>
      </c>
      <c r="H1074" s="10" t="n">
        <v>38</v>
      </c>
      <c r="I1074" s="10" t="n">
        <v>322</v>
      </c>
      <c r="J1074" s="7" t="inlineStr">
        <is>
          <t>NY</t>
        </is>
      </c>
      <c r="K1074" s="7" t="inlineStr">
        <is>
          <t>SFR</t>
        </is>
      </c>
      <c r="L1074" s="7" t="inlineStr">
        <is>
          <t>Coastal Mortgage Co</t>
        </is>
      </c>
      <c r="M1074" s="7" t="inlineStr">
        <is>
          <t>Summit Loan Servicing</t>
        </is>
      </c>
    </row>
    <row r="1075">
      <c r="A1075" s="5" t="inlineStr">
        <is>
          <t>L101070</t>
        </is>
      </c>
      <c r="B1075" s="16" t="n">
        <v>226633.62</v>
      </c>
      <c r="C1075" s="16" t="n">
        <v>225157.87</v>
      </c>
      <c r="D1075" s="26" t="n">
        <v>7.141</v>
      </c>
      <c r="E1075" s="6" t="n">
        <v>762</v>
      </c>
      <c r="F1075" s="11" t="n">
        <v>68.3</v>
      </c>
      <c r="G1075" s="11" t="n">
        <v>37.8</v>
      </c>
      <c r="H1075" s="6" t="n">
        <v>8</v>
      </c>
      <c r="I1075" s="6" t="n">
        <v>352</v>
      </c>
      <c r="J1075" s="5" t="inlineStr">
        <is>
          <t>NC</t>
        </is>
      </c>
      <c r="K1075" s="5" t="inlineStr">
        <is>
          <t>SFR</t>
        </is>
      </c>
      <c r="L1075" s="5" t="inlineStr">
        <is>
          <t>Apex Funding</t>
        </is>
      </c>
      <c r="M1075" s="5" t="inlineStr">
        <is>
          <t>Pier Asset Mgmt</t>
        </is>
      </c>
    </row>
    <row r="1076">
      <c r="A1076" s="7" t="inlineStr">
        <is>
          <t>L101071</t>
        </is>
      </c>
      <c r="B1076" s="8" t="n">
        <v>164371.45</v>
      </c>
      <c r="C1076" s="8" t="n">
        <v>154815.87</v>
      </c>
      <c r="D1076" s="27" t="n">
        <v>4.014</v>
      </c>
      <c r="E1076" s="10" t="n">
        <v>726</v>
      </c>
      <c r="F1076" s="12" t="n">
        <v>73.40000000000001</v>
      </c>
      <c r="G1076" s="12" t="n">
        <v>43.7</v>
      </c>
      <c r="H1076" s="10" t="n">
        <v>38</v>
      </c>
      <c r="I1076" s="10" t="n">
        <v>322</v>
      </c>
      <c r="J1076" s="7" t="inlineStr">
        <is>
          <t>NY</t>
        </is>
      </c>
      <c r="K1076" s="7" t="inlineStr">
        <is>
          <t>Condo</t>
        </is>
      </c>
      <c r="L1076" s="7" t="inlineStr">
        <is>
          <t>Meridian Home Loans</t>
        </is>
      </c>
      <c r="M1076" s="7" t="inlineStr">
        <is>
          <t>Northgate Servicing</t>
        </is>
      </c>
    </row>
    <row r="1077">
      <c r="A1077" s="5" t="inlineStr">
        <is>
          <t>L101072</t>
        </is>
      </c>
      <c r="B1077" s="16" t="n">
        <v>224077.57</v>
      </c>
      <c r="C1077" s="16" t="n">
        <v>221933.29</v>
      </c>
      <c r="D1077" s="26" t="n">
        <v>6.843</v>
      </c>
      <c r="E1077" s="6" t="n">
        <v>629</v>
      </c>
      <c r="F1077" s="11" t="n">
        <v>97</v>
      </c>
      <c r="G1077" s="11" t="n">
        <v>33.1</v>
      </c>
      <c r="H1077" s="6" t="n">
        <v>11</v>
      </c>
      <c r="I1077" s="6" t="n">
        <v>349</v>
      </c>
      <c r="J1077" s="5" t="inlineStr">
        <is>
          <t>WA</t>
        </is>
      </c>
      <c r="K1077" s="5" t="inlineStr">
        <is>
          <t>SFR</t>
        </is>
      </c>
      <c r="L1077" s="5" t="inlineStr">
        <is>
          <t>Apex Funding</t>
        </is>
      </c>
      <c r="M1077" s="5" t="inlineStr">
        <is>
          <t>Pier Asset Mgmt</t>
        </is>
      </c>
    </row>
    <row r="1078">
      <c r="A1078" s="7" t="inlineStr">
        <is>
          <t>L101073</t>
        </is>
      </c>
      <c r="B1078" s="8" t="n">
        <v>139040.7</v>
      </c>
      <c r="C1078" s="8" t="n">
        <v>138827.57</v>
      </c>
      <c r="D1078" s="27" t="n">
        <v>7.354</v>
      </c>
      <c r="E1078" s="10" t="n">
        <v>757</v>
      </c>
      <c r="F1078" s="12" t="n">
        <v>70.7</v>
      </c>
      <c r="G1078" s="12" t="n">
        <v>36.4</v>
      </c>
      <c r="H1078" s="10" t="n">
        <v>2</v>
      </c>
      <c r="I1078" s="10" t="n">
        <v>358</v>
      </c>
      <c r="J1078" s="7" t="inlineStr">
        <is>
          <t>WA</t>
        </is>
      </c>
      <c r="K1078" s="7" t="inlineStr">
        <is>
          <t>2-4 Unit</t>
        </is>
      </c>
      <c r="L1078" s="7" t="inlineStr">
        <is>
          <t>Highline Capital</t>
        </is>
      </c>
      <c r="M1078" s="7" t="inlineStr">
        <is>
          <t>Pier Asset Mgmt</t>
        </is>
      </c>
    </row>
    <row r="1079">
      <c r="A1079" s="5" t="inlineStr">
        <is>
          <t>L101074</t>
        </is>
      </c>
      <c r="B1079" s="16" t="n">
        <v>176397.05</v>
      </c>
      <c r="C1079" s="16" t="n">
        <v>172433.88</v>
      </c>
      <c r="D1079" s="26" t="n">
        <v>5.881</v>
      </c>
      <c r="E1079" s="6" t="n">
        <v>785</v>
      </c>
      <c r="F1079" s="11" t="n">
        <v>88.90000000000001</v>
      </c>
      <c r="G1079" s="11" t="n">
        <v>45.4</v>
      </c>
      <c r="H1079" s="6" t="n">
        <v>21</v>
      </c>
      <c r="I1079" s="6" t="n">
        <v>339</v>
      </c>
      <c r="J1079" s="5" t="inlineStr">
        <is>
          <t>WA</t>
        </is>
      </c>
      <c r="K1079" s="5" t="inlineStr">
        <is>
          <t>SFR</t>
        </is>
      </c>
      <c r="L1079" s="5" t="inlineStr">
        <is>
          <t>Apex Funding</t>
        </is>
      </c>
      <c r="M1079" s="5" t="inlineStr">
        <is>
          <t>Pier Asset Mgmt</t>
        </is>
      </c>
    </row>
    <row r="1080">
      <c r="A1080" s="7" t="inlineStr">
        <is>
          <t>L101075</t>
        </is>
      </c>
      <c r="B1080" s="8" t="n">
        <v>262859.54</v>
      </c>
      <c r="C1080" s="8" t="n">
        <v>258803.76</v>
      </c>
      <c r="D1080" s="27" t="n">
        <v>6.013</v>
      </c>
      <c r="E1080" s="10" t="n">
        <v>668</v>
      </c>
      <c r="F1080" s="12" t="n">
        <v>74.5</v>
      </c>
      <c r="G1080" s="12" t="n">
        <v>17.8</v>
      </c>
      <c r="H1080" s="10" t="n">
        <v>15</v>
      </c>
      <c r="I1080" s="10" t="n">
        <v>345</v>
      </c>
      <c r="J1080" s="7" t="inlineStr">
        <is>
          <t>NY</t>
        </is>
      </c>
      <c r="K1080" s="7" t="inlineStr">
        <is>
          <t>SFR</t>
        </is>
      </c>
      <c r="L1080" s="7" t="inlineStr">
        <is>
          <t>Highline Capital</t>
        </is>
      </c>
      <c r="M1080" s="7" t="inlineStr">
        <is>
          <t>Northgate Servicing</t>
        </is>
      </c>
    </row>
    <row r="1081">
      <c r="A1081" s="5" t="inlineStr">
        <is>
          <t>L101076</t>
        </is>
      </c>
      <c r="B1081" s="16" t="n">
        <v>385252.65</v>
      </c>
      <c r="C1081" s="16" t="n">
        <v>381339.09</v>
      </c>
      <c r="D1081" s="26" t="n">
        <v>5.433</v>
      </c>
      <c r="E1081" s="6" t="n">
        <v>715</v>
      </c>
      <c r="F1081" s="11" t="n">
        <v>79</v>
      </c>
      <c r="G1081" s="11" t="n">
        <v>40.7</v>
      </c>
      <c r="H1081" s="6" t="n">
        <v>9</v>
      </c>
      <c r="I1081" s="6" t="n">
        <v>351</v>
      </c>
      <c r="J1081" s="5" t="inlineStr">
        <is>
          <t>NY</t>
        </is>
      </c>
      <c r="K1081" s="5" t="inlineStr">
        <is>
          <t>SFR</t>
        </is>
      </c>
      <c r="L1081" s="5" t="inlineStr">
        <is>
          <t>Coastal Mortgage Co</t>
        </is>
      </c>
      <c r="M1081" s="5" t="inlineStr">
        <is>
          <t>Northgate Servicing</t>
        </is>
      </c>
    </row>
    <row r="1082">
      <c r="A1082" s="7" t="inlineStr">
        <is>
          <t>L101077</t>
        </is>
      </c>
      <c r="B1082" s="8" t="n">
        <v>649023.24</v>
      </c>
      <c r="C1082" s="8" t="n">
        <v>635296.22</v>
      </c>
      <c r="D1082" s="27" t="n">
        <v>5.931</v>
      </c>
      <c r="E1082" s="10" t="n">
        <v>620</v>
      </c>
      <c r="F1082" s="12" t="n">
        <v>74.8</v>
      </c>
      <c r="G1082" s="12" t="n">
        <v>33.3</v>
      </c>
      <c r="H1082" s="10" t="n">
        <v>20</v>
      </c>
      <c r="I1082" s="10" t="n">
        <v>340</v>
      </c>
      <c r="J1082" s="7" t="inlineStr">
        <is>
          <t>NC</t>
        </is>
      </c>
      <c r="K1082" s="7" t="inlineStr">
        <is>
          <t>2-4 Unit</t>
        </is>
      </c>
      <c r="L1082" s="7" t="inlineStr">
        <is>
          <t>Highline Capital</t>
        </is>
      </c>
      <c r="M1082" s="7" t="inlineStr">
        <is>
          <t>Northgate Servicing</t>
        </is>
      </c>
    </row>
    <row r="1083">
      <c r="A1083" s="5" t="inlineStr">
        <is>
          <t>L101078</t>
        </is>
      </c>
      <c r="B1083" s="16" t="n">
        <v>197737.41</v>
      </c>
      <c r="C1083" s="16" t="n">
        <v>188737.41</v>
      </c>
      <c r="D1083" s="26" t="n">
        <v>5.957</v>
      </c>
      <c r="E1083" s="6" t="n">
        <v>646</v>
      </c>
      <c r="F1083" s="11" t="n">
        <v>84.2</v>
      </c>
      <c r="G1083" s="11" t="n">
        <v>28.7</v>
      </c>
      <c r="H1083" s="6" t="n">
        <v>41</v>
      </c>
      <c r="I1083" s="6" t="n">
        <v>319</v>
      </c>
      <c r="J1083" s="5" t="inlineStr">
        <is>
          <t>OH</t>
        </is>
      </c>
      <c r="K1083" s="5" t="inlineStr">
        <is>
          <t>SFR</t>
        </is>
      </c>
      <c r="L1083" s="5" t="inlineStr">
        <is>
          <t>Apex Funding</t>
        </is>
      </c>
      <c r="M1083" s="5" t="inlineStr">
        <is>
          <t>Pier Asset Mgmt</t>
        </is>
      </c>
    </row>
    <row r="1084">
      <c r="A1084" s="7" t="inlineStr">
        <is>
          <t>L101079</t>
        </is>
      </c>
      <c r="B1084" s="8" t="n">
        <v>401256.06</v>
      </c>
      <c r="C1084" s="8" t="n">
        <v>388812.5</v>
      </c>
      <c r="D1084" s="27" t="n">
        <v>5.785</v>
      </c>
      <c r="E1084" s="10" t="n">
        <v>773</v>
      </c>
      <c r="F1084" s="12" t="n">
        <v>65.8</v>
      </c>
      <c r="G1084" s="12" t="n">
        <v>38.7</v>
      </c>
      <c r="H1084" s="10" t="n">
        <v>28</v>
      </c>
      <c r="I1084" s="10" t="n">
        <v>332</v>
      </c>
      <c r="J1084" s="7" t="inlineStr">
        <is>
          <t>GA</t>
        </is>
      </c>
      <c r="K1084" s="7" t="inlineStr">
        <is>
          <t>Condo</t>
        </is>
      </c>
      <c r="L1084" s="7" t="inlineStr">
        <is>
          <t>Meridian Home Loans</t>
        </is>
      </c>
      <c r="M1084" s="7" t="inlineStr">
        <is>
          <t>Summit Loan Servicing</t>
        </is>
      </c>
    </row>
    <row r="1085">
      <c r="A1085" s="5" t="inlineStr">
        <is>
          <t>L101080</t>
        </is>
      </c>
      <c r="B1085" s="16" t="n">
        <v>264425.11</v>
      </c>
      <c r="C1085" s="16" t="n">
        <v>253906.45</v>
      </c>
      <c r="D1085" s="26" t="n">
        <v>5.736</v>
      </c>
      <c r="E1085" s="6" t="n">
        <v>689</v>
      </c>
      <c r="F1085" s="11" t="n">
        <v>62.2</v>
      </c>
      <c r="G1085" s="11" t="n">
        <v>45.8</v>
      </c>
      <c r="H1085" s="6" t="n">
        <v>35</v>
      </c>
      <c r="I1085" s="6" t="n">
        <v>325</v>
      </c>
      <c r="J1085" s="5" t="inlineStr">
        <is>
          <t>AZ</t>
        </is>
      </c>
      <c r="K1085" s="5" t="inlineStr">
        <is>
          <t>SFR</t>
        </is>
      </c>
      <c r="L1085" s="5" t="inlineStr">
        <is>
          <t>Coastal Mortgage Co</t>
        </is>
      </c>
      <c r="M1085" s="5" t="inlineStr">
        <is>
          <t>Pier Asset Mgmt</t>
        </is>
      </c>
    </row>
    <row r="1086">
      <c r="A1086" s="7" t="inlineStr">
        <is>
          <t>L101081</t>
        </is>
      </c>
      <c r="B1086" s="8" t="n">
        <v>230282.78</v>
      </c>
      <c r="C1086" s="8" t="n">
        <v>228470.56</v>
      </c>
      <c r="D1086" s="27" t="n">
        <v>6.156</v>
      </c>
      <c r="E1086" s="10" t="n">
        <v>654</v>
      </c>
      <c r="F1086" s="12" t="n">
        <v>66.3</v>
      </c>
      <c r="G1086" s="12" t="n">
        <v>44.3</v>
      </c>
      <c r="H1086" s="10" t="n">
        <v>8</v>
      </c>
      <c r="I1086" s="10" t="n">
        <v>352</v>
      </c>
      <c r="J1086" s="7" t="inlineStr">
        <is>
          <t>OH</t>
        </is>
      </c>
      <c r="K1086" s="7" t="inlineStr">
        <is>
          <t>SFR</t>
        </is>
      </c>
      <c r="L1086" s="7" t="inlineStr">
        <is>
          <t>Coastal Mortgage Co</t>
        </is>
      </c>
      <c r="M1086" s="7" t="inlineStr">
        <is>
          <t>Pier Asset Mgmt</t>
        </is>
      </c>
    </row>
    <row r="1087">
      <c r="A1087" s="5" t="inlineStr">
        <is>
          <t>L101082</t>
        </is>
      </c>
      <c r="B1087" s="16" t="n">
        <v>282492.72</v>
      </c>
      <c r="C1087" s="16" t="n">
        <v>281390.24</v>
      </c>
      <c r="D1087" s="26" t="n">
        <v>6.145</v>
      </c>
      <c r="E1087" s="6" t="n">
        <v>728</v>
      </c>
      <c r="F1087" s="11" t="n">
        <v>75.2</v>
      </c>
      <c r="G1087" s="11" t="n">
        <v>34.9</v>
      </c>
      <c r="H1087" s="6" t="n">
        <v>4</v>
      </c>
      <c r="I1087" s="6" t="n">
        <v>356</v>
      </c>
      <c r="J1087" s="5" t="inlineStr">
        <is>
          <t>AZ</t>
        </is>
      </c>
      <c r="K1087" s="5" t="inlineStr">
        <is>
          <t>Condo</t>
        </is>
      </c>
      <c r="L1087" s="5" t="inlineStr">
        <is>
          <t>Meridian Home Loans</t>
        </is>
      </c>
      <c r="M1087" s="5" t="inlineStr">
        <is>
          <t>Summit Loan Servicing</t>
        </is>
      </c>
    </row>
    <row r="1088">
      <c r="A1088" s="7" t="inlineStr">
        <is>
          <t>L101083</t>
        </is>
      </c>
      <c r="B1088" s="8" t="n">
        <v>248120.74</v>
      </c>
      <c r="C1088" s="8" t="n">
        <v>245367.16</v>
      </c>
      <c r="D1088" s="27" t="n">
        <v>8.087</v>
      </c>
      <c r="E1088" s="10" t="n">
        <v>686</v>
      </c>
      <c r="F1088" s="12" t="n">
        <v>71.40000000000001</v>
      </c>
      <c r="G1088" s="12" t="n">
        <v>43</v>
      </c>
      <c r="H1088" s="10" t="n">
        <v>16</v>
      </c>
      <c r="I1088" s="10" t="n">
        <v>344</v>
      </c>
      <c r="J1088" s="7" t="inlineStr">
        <is>
          <t>NY</t>
        </is>
      </c>
      <c r="K1088" s="7" t="inlineStr">
        <is>
          <t>SFR</t>
        </is>
      </c>
      <c r="L1088" s="7" t="inlineStr">
        <is>
          <t>Highline Capital</t>
        </is>
      </c>
      <c r="M1088" s="7" t="inlineStr">
        <is>
          <t>Summit Loan Servicing</t>
        </is>
      </c>
    </row>
    <row r="1089">
      <c r="A1089" s="5" t="inlineStr">
        <is>
          <t>L101084</t>
        </is>
      </c>
      <c r="B1089" s="16" t="n">
        <v>252366.71</v>
      </c>
      <c r="C1089" s="16" t="n">
        <v>242263.9</v>
      </c>
      <c r="D1089" s="26" t="n">
        <v>6.045</v>
      </c>
      <c r="E1089" s="6" t="n">
        <v>689</v>
      </c>
      <c r="F1089" s="11" t="n">
        <v>82.5</v>
      </c>
      <c r="G1089" s="11" t="n">
        <v>42.9</v>
      </c>
      <c r="H1089" s="6" t="n">
        <v>37</v>
      </c>
      <c r="I1089" s="6" t="n">
        <v>323</v>
      </c>
      <c r="J1089" s="5" t="inlineStr">
        <is>
          <t>FL</t>
        </is>
      </c>
      <c r="K1089" s="5" t="inlineStr">
        <is>
          <t>SFR</t>
        </is>
      </c>
      <c r="L1089" s="5" t="inlineStr">
        <is>
          <t>Meridian Home Loans</t>
        </is>
      </c>
      <c r="M1089" s="5" t="inlineStr">
        <is>
          <t>Summit Loan Servicing</t>
        </is>
      </c>
    </row>
    <row r="1090">
      <c r="A1090" s="7" t="inlineStr">
        <is>
          <t>L101085</t>
        </is>
      </c>
      <c r="B1090" s="8" t="n">
        <v>210466.84</v>
      </c>
      <c r="C1090" s="8" t="n">
        <v>201847.74</v>
      </c>
      <c r="D1090" s="27" t="n">
        <v>6.71</v>
      </c>
      <c r="E1090" s="10" t="n">
        <v>756</v>
      </c>
      <c r="F1090" s="12" t="n">
        <v>89.7</v>
      </c>
      <c r="G1090" s="12" t="n">
        <v>35.3</v>
      </c>
      <c r="H1090" s="10" t="n">
        <v>42</v>
      </c>
      <c r="I1090" s="10" t="n">
        <v>318</v>
      </c>
      <c r="J1090" s="7" t="inlineStr">
        <is>
          <t>IL</t>
        </is>
      </c>
      <c r="K1090" s="7" t="inlineStr">
        <is>
          <t>SFR</t>
        </is>
      </c>
      <c r="L1090" s="7" t="inlineStr">
        <is>
          <t>Apex Funding</t>
        </is>
      </c>
      <c r="M1090" s="7" t="inlineStr">
        <is>
          <t>Northgate Servicing</t>
        </is>
      </c>
    </row>
    <row r="1091">
      <c r="A1091" s="5" t="inlineStr">
        <is>
          <t>L101086</t>
        </is>
      </c>
      <c r="B1091" s="16" t="n">
        <v>148845.13</v>
      </c>
      <c r="C1091" s="16" t="n">
        <v>148079.76</v>
      </c>
      <c r="D1091" s="26" t="n">
        <v>5.881</v>
      </c>
      <c r="E1091" s="6" t="n">
        <v>651</v>
      </c>
      <c r="F1091" s="11" t="n">
        <v>62.3</v>
      </c>
      <c r="G1091" s="11" t="n">
        <v>30.5</v>
      </c>
      <c r="H1091" s="6" t="n">
        <v>5</v>
      </c>
      <c r="I1091" s="6" t="n">
        <v>355</v>
      </c>
      <c r="J1091" s="5" t="inlineStr">
        <is>
          <t>GA</t>
        </is>
      </c>
      <c r="K1091" s="5" t="inlineStr">
        <is>
          <t>Condo</t>
        </is>
      </c>
      <c r="L1091" s="5" t="inlineStr">
        <is>
          <t>Highline Capital</t>
        </is>
      </c>
      <c r="M1091" s="5" t="inlineStr">
        <is>
          <t>Summit Loan Servicing</t>
        </is>
      </c>
    </row>
    <row r="1092">
      <c r="A1092" s="7" t="inlineStr">
        <is>
          <t>L101087</t>
        </is>
      </c>
      <c r="B1092" s="8" t="n">
        <v>141454.19</v>
      </c>
      <c r="C1092" s="8" t="n">
        <v>137948.44</v>
      </c>
      <c r="D1092" s="27" t="n">
        <v>5.869</v>
      </c>
      <c r="E1092" s="10" t="n">
        <v>665</v>
      </c>
      <c r="F1092" s="12" t="n">
        <v>65.2</v>
      </c>
      <c r="G1092" s="12" t="n">
        <v>30.9</v>
      </c>
      <c r="H1092" s="10" t="n">
        <v>23</v>
      </c>
      <c r="I1092" s="10" t="n">
        <v>337</v>
      </c>
      <c r="J1092" s="7" t="inlineStr">
        <is>
          <t>OH</t>
        </is>
      </c>
      <c r="K1092" s="7" t="inlineStr">
        <is>
          <t>SFR</t>
        </is>
      </c>
      <c r="L1092" s="7" t="inlineStr">
        <is>
          <t>Coastal Mortgage Co</t>
        </is>
      </c>
      <c r="M1092" s="7" t="inlineStr">
        <is>
          <t>Summit Loan Servicing</t>
        </is>
      </c>
    </row>
    <row r="1093">
      <c r="A1093" s="5" t="inlineStr">
        <is>
          <t>L101088</t>
        </is>
      </c>
      <c r="B1093" s="16" t="n">
        <v>305173.49</v>
      </c>
      <c r="C1093" s="16" t="n">
        <v>282417.46</v>
      </c>
      <c r="D1093" s="26" t="n">
        <v>4.866</v>
      </c>
      <c r="E1093" s="6" t="n">
        <v>723</v>
      </c>
      <c r="F1093" s="11" t="n">
        <v>56.8</v>
      </c>
      <c r="G1093" s="11" t="n">
        <v>42.7</v>
      </c>
      <c r="H1093" s="6" t="n">
        <v>19</v>
      </c>
      <c r="I1093" s="6" t="n">
        <v>161</v>
      </c>
      <c r="J1093" s="5" t="inlineStr">
        <is>
          <t>NY</t>
        </is>
      </c>
      <c r="K1093" s="5" t="inlineStr">
        <is>
          <t>SFR</t>
        </is>
      </c>
      <c r="L1093" s="5" t="inlineStr">
        <is>
          <t>Apex Funding</t>
        </is>
      </c>
      <c r="M1093" s="5" t="inlineStr">
        <is>
          <t>Summit Loan Servicing</t>
        </is>
      </c>
    </row>
    <row r="1094">
      <c r="A1094" s="7" t="inlineStr">
        <is>
          <t>L101089</t>
        </is>
      </c>
      <c r="B1094" s="8" t="n">
        <v>220390.22</v>
      </c>
      <c r="C1094" s="8" t="n">
        <v>210410.47</v>
      </c>
      <c r="D1094" s="27" t="n">
        <v>4.986</v>
      </c>
      <c r="E1094" s="10" t="n">
        <v>768</v>
      </c>
      <c r="F1094" s="12" t="n">
        <v>97</v>
      </c>
      <c r="G1094" s="12" t="n">
        <v>35.7</v>
      </c>
      <c r="H1094" s="10" t="n">
        <v>35</v>
      </c>
      <c r="I1094" s="10" t="n">
        <v>325</v>
      </c>
      <c r="J1094" s="7" t="inlineStr">
        <is>
          <t>TX</t>
        </is>
      </c>
      <c r="K1094" s="7" t="inlineStr">
        <is>
          <t>SFR</t>
        </is>
      </c>
      <c r="L1094" s="7" t="inlineStr">
        <is>
          <t>Apex Funding</t>
        </is>
      </c>
      <c r="M1094" s="7" t="inlineStr">
        <is>
          <t>Summit Loan Servicing</t>
        </is>
      </c>
    </row>
    <row r="1095">
      <c r="A1095" s="5" t="inlineStr">
        <is>
          <t>L101090</t>
        </is>
      </c>
      <c r="B1095" s="16" t="n">
        <v>197080.76</v>
      </c>
      <c r="C1095" s="16" t="n">
        <v>194801.99</v>
      </c>
      <c r="D1095" s="26" t="n">
        <v>5.314</v>
      </c>
      <c r="E1095" s="6" t="n">
        <v>783</v>
      </c>
      <c r="F1095" s="11" t="n">
        <v>77.7</v>
      </c>
      <c r="G1095" s="11" t="n">
        <v>27.6</v>
      </c>
      <c r="H1095" s="6" t="n">
        <v>10</v>
      </c>
      <c r="I1095" s="6" t="n">
        <v>350</v>
      </c>
      <c r="J1095" s="5" t="inlineStr">
        <is>
          <t>NY</t>
        </is>
      </c>
      <c r="K1095" s="5" t="inlineStr">
        <is>
          <t>Multifamily</t>
        </is>
      </c>
      <c r="L1095" s="5" t="inlineStr">
        <is>
          <t>Highline Capital</t>
        </is>
      </c>
      <c r="M1095" s="5" t="inlineStr">
        <is>
          <t>Northgate Servicing</t>
        </is>
      </c>
    </row>
    <row r="1096">
      <c r="A1096" s="7" t="inlineStr">
        <is>
          <t>L101091</t>
        </is>
      </c>
      <c r="B1096" s="8" t="n">
        <v>243525.51</v>
      </c>
      <c r="C1096" s="8" t="n">
        <v>238212.94</v>
      </c>
      <c r="D1096" s="27" t="n">
        <v>6.565</v>
      </c>
      <c r="E1096" s="10" t="n">
        <v>678</v>
      </c>
      <c r="F1096" s="12" t="n">
        <v>79.8</v>
      </c>
      <c r="G1096" s="12" t="n">
        <v>22.5</v>
      </c>
      <c r="H1096" s="10" t="n">
        <v>23</v>
      </c>
      <c r="I1096" s="10" t="n">
        <v>337</v>
      </c>
      <c r="J1096" s="7" t="inlineStr">
        <is>
          <t>GA</t>
        </is>
      </c>
      <c r="K1096" s="7" t="inlineStr">
        <is>
          <t>SFR</t>
        </is>
      </c>
      <c r="L1096" s="7" t="inlineStr">
        <is>
          <t>Meridian Home Loans</t>
        </is>
      </c>
      <c r="M1096" s="7" t="inlineStr">
        <is>
          <t>Summit Loan Servicing</t>
        </is>
      </c>
    </row>
    <row r="1097">
      <c r="A1097" s="5" t="inlineStr">
        <is>
          <t>L101092</t>
        </is>
      </c>
      <c r="B1097" s="16" t="n">
        <v>320688.74</v>
      </c>
      <c r="C1097" s="16" t="n">
        <v>309649.7</v>
      </c>
      <c r="D1097" s="26" t="n">
        <v>7.369</v>
      </c>
      <c r="E1097" s="6" t="n">
        <v>767</v>
      </c>
      <c r="F1097" s="11" t="n">
        <v>57.9</v>
      </c>
      <c r="G1097" s="11" t="n">
        <v>42.7</v>
      </c>
      <c r="H1097" s="6" t="n">
        <v>40</v>
      </c>
      <c r="I1097" s="6" t="n">
        <v>320</v>
      </c>
      <c r="J1097" s="5" t="inlineStr">
        <is>
          <t>FL</t>
        </is>
      </c>
      <c r="K1097" s="5" t="inlineStr">
        <is>
          <t>SFR</t>
        </is>
      </c>
      <c r="L1097" s="5" t="inlineStr">
        <is>
          <t>Coastal Mortgage Co</t>
        </is>
      </c>
      <c r="M1097" s="5" t="inlineStr">
        <is>
          <t>Northgate Servicing</t>
        </is>
      </c>
    </row>
    <row r="1098">
      <c r="A1098" s="7" t="inlineStr">
        <is>
          <t>L101093</t>
        </is>
      </c>
      <c r="B1098" s="8" t="n">
        <v>258623.18</v>
      </c>
      <c r="C1098" s="8" t="n">
        <v>236031.5</v>
      </c>
      <c r="D1098" s="27" t="n">
        <v>4.792</v>
      </c>
      <c r="E1098" s="10" t="n">
        <v>672</v>
      </c>
      <c r="F1098" s="12" t="n">
        <v>74</v>
      </c>
      <c r="G1098" s="12" t="n">
        <v>31.6</v>
      </c>
      <c r="H1098" s="10" t="n">
        <v>22</v>
      </c>
      <c r="I1098" s="10" t="n">
        <v>158</v>
      </c>
      <c r="J1098" s="7" t="inlineStr">
        <is>
          <t>NY</t>
        </is>
      </c>
      <c r="K1098" s="7" t="inlineStr">
        <is>
          <t>SFR</t>
        </is>
      </c>
      <c r="L1098" s="7" t="inlineStr">
        <is>
          <t>Apex Funding</t>
        </is>
      </c>
      <c r="M1098" s="7" t="inlineStr">
        <is>
          <t>Summit Loan Servicing</t>
        </is>
      </c>
    </row>
    <row r="1099">
      <c r="A1099" s="5" t="inlineStr">
        <is>
          <t>L101094</t>
        </is>
      </c>
      <c r="B1099" s="16" t="n">
        <v>192987.51</v>
      </c>
      <c r="C1099" s="16" t="n">
        <v>185070.76</v>
      </c>
      <c r="D1099" s="26" t="n">
        <v>5.906</v>
      </c>
      <c r="E1099" s="6" t="n">
        <v>815</v>
      </c>
      <c r="F1099" s="11" t="n">
        <v>80.09999999999999</v>
      </c>
      <c r="G1099" s="11" t="n">
        <v>38.6</v>
      </c>
      <c r="H1099" s="6" t="n">
        <v>37</v>
      </c>
      <c r="I1099" s="6" t="n">
        <v>323</v>
      </c>
      <c r="J1099" s="5" t="inlineStr">
        <is>
          <t>FL</t>
        </is>
      </c>
      <c r="K1099" s="5" t="inlineStr">
        <is>
          <t>SFR</t>
        </is>
      </c>
      <c r="L1099" s="5" t="inlineStr">
        <is>
          <t>Meridian Home Loans</t>
        </is>
      </c>
      <c r="M1099" s="5" t="inlineStr">
        <is>
          <t>Summit Loan Servicing</t>
        </is>
      </c>
    </row>
    <row r="1100">
      <c r="A1100" s="7" t="inlineStr">
        <is>
          <t>L101095</t>
        </is>
      </c>
      <c r="B1100" s="8" t="n">
        <v>372951.08</v>
      </c>
      <c r="C1100" s="8" t="n">
        <v>359077.28</v>
      </c>
      <c r="D1100" s="27" t="n">
        <v>5.17</v>
      </c>
      <c r="E1100" s="10" t="n">
        <v>653</v>
      </c>
      <c r="F1100" s="12" t="n">
        <v>71</v>
      </c>
      <c r="G1100" s="12" t="n">
        <v>45.9</v>
      </c>
      <c r="H1100" s="10" t="n">
        <v>30</v>
      </c>
      <c r="I1100" s="10" t="n">
        <v>330</v>
      </c>
      <c r="J1100" s="7" t="inlineStr">
        <is>
          <t>WA</t>
        </is>
      </c>
      <c r="K1100" s="7" t="inlineStr">
        <is>
          <t>SFR</t>
        </is>
      </c>
      <c r="L1100" s="7" t="inlineStr">
        <is>
          <t>Highline Capital</t>
        </is>
      </c>
      <c r="M1100" s="7" t="inlineStr">
        <is>
          <t>Pier Asset Mgmt</t>
        </is>
      </c>
    </row>
    <row r="1101">
      <c r="A1101" s="5" t="inlineStr">
        <is>
          <t>L101096</t>
        </is>
      </c>
      <c r="B1101" s="16" t="n">
        <v>421980.73</v>
      </c>
      <c r="C1101" s="16" t="n">
        <v>409281.37</v>
      </c>
      <c r="D1101" s="26" t="n">
        <v>6.162</v>
      </c>
      <c r="E1101" s="6" t="n">
        <v>788</v>
      </c>
      <c r="F1101" s="11" t="n">
        <v>86.90000000000001</v>
      </c>
      <c r="G1101" s="11" t="n">
        <v>25.5</v>
      </c>
      <c r="H1101" s="6" t="n">
        <v>29</v>
      </c>
      <c r="I1101" s="6" t="n">
        <v>331</v>
      </c>
      <c r="J1101" s="5" t="inlineStr">
        <is>
          <t>GA</t>
        </is>
      </c>
      <c r="K1101" s="5" t="inlineStr">
        <is>
          <t>2-4 Unit</t>
        </is>
      </c>
      <c r="L1101" s="5" t="inlineStr">
        <is>
          <t>Apex Funding</t>
        </is>
      </c>
      <c r="M1101" s="5" t="inlineStr">
        <is>
          <t>Pier Asset Mgmt</t>
        </is>
      </c>
    </row>
    <row r="1102">
      <c r="A1102" s="7" t="inlineStr">
        <is>
          <t>L101097</t>
        </is>
      </c>
      <c r="B1102" s="8" t="n">
        <v>288685.99</v>
      </c>
      <c r="C1102" s="8" t="n">
        <v>285718.58</v>
      </c>
      <c r="D1102" s="27" t="n">
        <v>7.368</v>
      </c>
      <c r="E1102" s="10" t="n">
        <v>679</v>
      </c>
      <c r="F1102" s="12" t="n">
        <v>97</v>
      </c>
      <c r="G1102" s="12" t="n">
        <v>35.6</v>
      </c>
      <c r="H1102" s="10" t="n">
        <v>13</v>
      </c>
      <c r="I1102" s="10" t="n">
        <v>347</v>
      </c>
      <c r="J1102" s="7" t="inlineStr">
        <is>
          <t>AZ</t>
        </is>
      </c>
      <c r="K1102" s="7" t="inlineStr">
        <is>
          <t>Condo</t>
        </is>
      </c>
      <c r="L1102" s="7" t="inlineStr">
        <is>
          <t>Meridian Home Loans</t>
        </is>
      </c>
      <c r="M1102" s="7" t="inlineStr">
        <is>
          <t>Summit Loan Servicing</t>
        </is>
      </c>
    </row>
    <row r="1103">
      <c r="A1103" s="5" t="inlineStr">
        <is>
          <t>L101098</t>
        </is>
      </c>
      <c r="B1103" s="16" t="n">
        <v>341390.49</v>
      </c>
      <c r="C1103" s="16" t="n">
        <v>323428.49</v>
      </c>
      <c r="D1103" s="26" t="n">
        <v>5.998</v>
      </c>
      <c r="E1103" s="6" t="n">
        <v>820</v>
      </c>
      <c r="F1103" s="11" t="n">
        <v>62.6</v>
      </c>
      <c r="G1103" s="11" t="n">
        <v>34.6</v>
      </c>
      <c r="H1103" s="6" t="n">
        <v>47</v>
      </c>
      <c r="I1103" s="6" t="n">
        <v>313</v>
      </c>
      <c r="J1103" s="5" t="inlineStr">
        <is>
          <t>GA</t>
        </is>
      </c>
      <c r="K1103" s="5" t="inlineStr">
        <is>
          <t>SFR</t>
        </is>
      </c>
      <c r="L1103" s="5" t="inlineStr">
        <is>
          <t>Meridian Home Loans</t>
        </is>
      </c>
      <c r="M1103" s="5" t="inlineStr">
        <is>
          <t>Summit Loan Servicing</t>
        </is>
      </c>
    </row>
    <row r="1104">
      <c r="A1104" s="7" t="inlineStr">
        <is>
          <t>L101099</t>
        </is>
      </c>
      <c r="B1104" s="8" t="n">
        <v>375001.76</v>
      </c>
      <c r="C1104" s="8" t="n">
        <v>370695.26</v>
      </c>
      <c r="D1104" s="27" t="n">
        <v>6.357</v>
      </c>
      <c r="E1104" s="10" t="n">
        <v>748</v>
      </c>
      <c r="F1104" s="12" t="n">
        <v>61.7</v>
      </c>
      <c r="G1104" s="12" t="n">
        <v>39</v>
      </c>
      <c r="H1104" s="10" t="n">
        <v>12</v>
      </c>
      <c r="I1104" s="10" t="n">
        <v>348</v>
      </c>
      <c r="J1104" s="7" t="inlineStr">
        <is>
          <t>CA</t>
        </is>
      </c>
      <c r="K1104" s="7" t="inlineStr">
        <is>
          <t>SFR</t>
        </is>
      </c>
      <c r="L1104" s="7" t="inlineStr">
        <is>
          <t>Meridian Home Loans</t>
        </is>
      </c>
      <c r="M1104" s="7" t="inlineStr">
        <is>
          <t>Pier Asset Mgmt</t>
        </is>
      </c>
    </row>
    <row r="1105">
      <c r="A1105" s="5" t="inlineStr">
        <is>
          <t>L101100</t>
        </is>
      </c>
      <c r="B1105" s="16" t="n">
        <v>360603.67</v>
      </c>
      <c r="C1105" s="16" t="n">
        <v>306438.17</v>
      </c>
      <c r="D1105" s="26" t="n">
        <v>7.71</v>
      </c>
      <c r="E1105" s="6" t="n">
        <v>659</v>
      </c>
      <c r="F1105" s="11" t="n">
        <v>63.5</v>
      </c>
      <c r="G1105" s="11" t="n">
        <v>45.9</v>
      </c>
      <c r="H1105" s="6" t="n">
        <v>44</v>
      </c>
      <c r="I1105" s="6" t="n">
        <v>136</v>
      </c>
      <c r="J1105" s="5" t="inlineStr">
        <is>
          <t>FL</t>
        </is>
      </c>
      <c r="K1105" s="5" t="inlineStr">
        <is>
          <t>SFR</t>
        </is>
      </c>
      <c r="L1105" s="5" t="inlineStr">
        <is>
          <t>Apex Funding</t>
        </is>
      </c>
      <c r="M1105" s="5" t="inlineStr">
        <is>
          <t>Pier Asset Mgmt</t>
        </is>
      </c>
    </row>
    <row r="1106">
      <c r="A1106" s="7" t="inlineStr">
        <is>
          <t>L101101</t>
        </is>
      </c>
      <c r="B1106" s="8" t="n">
        <v>301020.82</v>
      </c>
      <c r="C1106" s="8" t="n">
        <v>287273.06</v>
      </c>
      <c r="D1106" s="27" t="n">
        <v>6.812</v>
      </c>
      <c r="E1106" s="10" t="n">
        <v>686</v>
      </c>
      <c r="F1106" s="12" t="n">
        <v>93.3</v>
      </c>
      <c r="G1106" s="12" t="n">
        <v>25.4</v>
      </c>
      <c r="H1106" s="10" t="n">
        <v>47</v>
      </c>
      <c r="I1106" s="10" t="n">
        <v>313</v>
      </c>
      <c r="J1106" s="7" t="inlineStr">
        <is>
          <t>OH</t>
        </is>
      </c>
      <c r="K1106" s="7" t="inlineStr">
        <is>
          <t>SFR</t>
        </is>
      </c>
      <c r="L1106" s="7" t="inlineStr">
        <is>
          <t>Apex Funding</t>
        </is>
      </c>
      <c r="M1106" s="7" t="inlineStr">
        <is>
          <t>Northgate Servicing</t>
        </is>
      </c>
    </row>
    <row r="1107">
      <c r="A1107" s="5" t="inlineStr">
        <is>
          <t>L101102</t>
        </is>
      </c>
      <c r="B1107" s="16" t="n">
        <v>299365.79</v>
      </c>
      <c r="C1107" s="16" t="n">
        <v>271438.91</v>
      </c>
      <c r="D1107" s="26" t="n">
        <v>5.716</v>
      </c>
      <c r="E1107" s="6" t="n">
        <v>758</v>
      </c>
      <c r="F1107" s="11" t="n">
        <v>86.5</v>
      </c>
      <c r="G1107" s="11" t="n">
        <v>40.6</v>
      </c>
      <c r="H1107" s="6" t="n">
        <v>25</v>
      </c>
      <c r="I1107" s="6" t="n">
        <v>155</v>
      </c>
      <c r="J1107" s="5" t="inlineStr">
        <is>
          <t>GA</t>
        </is>
      </c>
      <c r="K1107" s="5" t="inlineStr">
        <is>
          <t>SFR</t>
        </is>
      </c>
      <c r="L1107" s="5" t="inlineStr">
        <is>
          <t>Coastal Mortgage Co</t>
        </is>
      </c>
      <c r="M1107" s="5" t="inlineStr">
        <is>
          <t>Pier Asset Mgmt</t>
        </is>
      </c>
    </row>
    <row r="1108">
      <c r="A1108" s="7" t="inlineStr">
        <is>
          <t>L101103</t>
        </is>
      </c>
      <c r="B1108" s="8" t="n">
        <v>291233.67</v>
      </c>
      <c r="C1108" s="8" t="n">
        <v>279274.57</v>
      </c>
      <c r="D1108" s="27" t="n">
        <v>6.543</v>
      </c>
      <c r="E1108" s="10" t="n">
        <v>773</v>
      </c>
      <c r="F1108" s="12" t="n">
        <v>72.40000000000001</v>
      </c>
      <c r="G1108" s="12" t="n">
        <v>44.3</v>
      </c>
      <c r="H1108" s="10" t="n">
        <v>41</v>
      </c>
      <c r="I1108" s="10" t="n">
        <v>319</v>
      </c>
      <c r="J1108" s="7" t="inlineStr">
        <is>
          <t>AZ</t>
        </is>
      </c>
      <c r="K1108" s="7" t="inlineStr">
        <is>
          <t>SFR</t>
        </is>
      </c>
      <c r="L1108" s="7" t="inlineStr">
        <is>
          <t>Apex Funding</t>
        </is>
      </c>
      <c r="M1108" s="7" t="inlineStr">
        <is>
          <t>Summit Loan Servicing</t>
        </is>
      </c>
    </row>
    <row r="1109">
      <c r="A1109" s="5" t="inlineStr">
        <is>
          <t>L101104</t>
        </is>
      </c>
      <c r="B1109" s="16" t="n">
        <v>165368.54</v>
      </c>
      <c r="C1109" s="16" t="n">
        <v>158902.7</v>
      </c>
      <c r="D1109" s="26" t="n">
        <v>5.655</v>
      </c>
      <c r="E1109" s="6" t="n">
        <v>711</v>
      </c>
      <c r="F1109" s="11" t="n">
        <v>74.40000000000001</v>
      </c>
      <c r="G1109" s="11" t="n">
        <v>34.5</v>
      </c>
      <c r="H1109" s="6" t="n">
        <v>34</v>
      </c>
      <c r="I1109" s="6" t="n">
        <v>326</v>
      </c>
      <c r="J1109" s="5" t="inlineStr">
        <is>
          <t>AZ</t>
        </is>
      </c>
      <c r="K1109" s="5" t="inlineStr">
        <is>
          <t>2-4 Unit</t>
        </is>
      </c>
      <c r="L1109" s="5" t="inlineStr">
        <is>
          <t>Coastal Mortgage Co</t>
        </is>
      </c>
      <c r="M1109" s="5" t="inlineStr">
        <is>
          <t>Northgate Servicing</t>
        </is>
      </c>
    </row>
    <row r="1110">
      <c r="A1110" s="7" t="inlineStr">
        <is>
          <t>L101105</t>
        </is>
      </c>
      <c r="B1110" s="8" t="n">
        <v>310287.05</v>
      </c>
      <c r="C1110" s="8" t="n">
        <v>300036.91</v>
      </c>
      <c r="D1110" s="27" t="n">
        <v>6.778</v>
      </c>
      <c r="E1110" s="10" t="n">
        <v>717</v>
      </c>
      <c r="F1110" s="12" t="n">
        <v>64.2</v>
      </c>
      <c r="G1110" s="12" t="n">
        <v>34.9</v>
      </c>
      <c r="H1110" s="10" t="n">
        <v>35</v>
      </c>
      <c r="I1110" s="10" t="n">
        <v>325</v>
      </c>
      <c r="J1110" s="7" t="inlineStr">
        <is>
          <t>GA</t>
        </is>
      </c>
      <c r="K1110" s="7" t="inlineStr">
        <is>
          <t>SFR</t>
        </is>
      </c>
      <c r="L1110" s="7" t="inlineStr">
        <is>
          <t>Coastal Mortgage Co</t>
        </is>
      </c>
      <c r="M1110" s="7" t="inlineStr">
        <is>
          <t>Northgate Servicing</t>
        </is>
      </c>
    </row>
    <row r="1111">
      <c r="A1111" s="5" t="inlineStr">
        <is>
          <t>L101106</t>
        </is>
      </c>
      <c r="B1111" s="16" t="n">
        <v>151064.94</v>
      </c>
      <c r="C1111" s="16" t="n">
        <v>150551.81</v>
      </c>
      <c r="D1111" s="26" t="n">
        <v>6.864</v>
      </c>
      <c r="E1111" s="6" t="n">
        <v>757</v>
      </c>
      <c r="F1111" s="11" t="n">
        <v>84.7</v>
      </c>
      <c r="G1111" s="11" t="n">
        <v>39.3</v>
      </c>
      <c r="H1111" s="6" t="n">
        <v>4</v>
      </c>
      <c r="I1111" s="6" t="n">
        <v>356</v>
      </c>
      <c r="J1111" s="5" t="inlineStr">
        <is>
          <t>GA</t>
        </is>
      </c>
      <c r="K1111" s="5" t="inlineStr">
        <is>
          <t>SFR</t>
        </is>
      </c>
      <c r="L1111" s="5" t="inlineStr">
        <is>
          <t>Meridian Home Loans</t>
        </is>
      </c>
      <c r="M1111" s="5" t="inlineStr">
        <is>
          <t>Pier Asset Mgmt</t>
        </is>
      </c>
    </row>
    <row r="1112">
      <c r="A1112" s="7" t="inlineStr">
        <is>
          <t>L101107</t>
        </is>
      </c>
      <c r="B1112" s="8" t="n">
        <v>183852.7</v>
      </c>
      <c r="C1112" s="8" t="n">
        <v>182334.83</v>
      </c>
      <c r="D1112" s="27" t="n">
        <v>5.17</v>
      </c>
      <c r="E1112" s="10" t="n">
        <v>722</v>
      </c>
      <c r="F1112" s="12" t="n">
        <v>69.40000000000001</v>
      </c>
      <c r="G1112" s="12" t="n">
        <v>38.8</v>
      </c>
      <c r="H1112" s="10" t="n">
        <v>7</v>
      </c>
      <c r="I1112" s="10" t="n">
        <v>353</v>
      </c>
      <c r="J1112" s="7" t="inlineStr">
        <is>
          <t>FL</t>
        </is>
      </c>
      <c r="K1112" s="7" t="inlineStr">
        <is>
          <t>Multifamily</t>
        </is>
      </c>
      <c r="L1112" s="7" t="inlineStr">
        <is>
          <t>Meridian Home Loans</t>
        </is>
      </c>
      <c r="M1112" s="7" t="inlineStr">
        <is>
          <t>Summit Loan Servicing</t>
        </is>
      </c>
    </row>
    <row r="1113">
      <c r="A1113" s="5" t="inlineStr">
        <is>
          <t>L101108</t>
        </is>
      </c>
      <c r="B1113" s="16" t="n">
        <v>383175.26</v>
      </c>
      <c r="C1113" s="16" t="n">
        <v>378109.75</v>
      </c>
      <c r="D1113" s="26" t="n">
        <v>6.558</v>
      </c>
      <c r="E1113" s="6" t="n">
        <v>644</v>
      </c>
      <c r="F1113" s="11" t="n">
        <v>70.90000000000001</v>
      </c>
      <c r="G1113" s="11" t="n">
        <v>40.7</v>
      </c>
      <c r="H1113" s="6" t="n">
        <v>4</v>
      </c>
      <c r="I1113" s="6" t="n">
        <v>176</v>
      </c>
      <c r="J1113" s="5" t="inlineStr">
        <is>
          <t>FL</t>
        </is>
      </c>
      <c r="K1113" s="5" t="inlineStr">
        <is>
          <t>SFR</t>
        </is>
      </c>
      <c r="L1113" s="5" t="inlineStr">
        <is>
          <t>Apex Funding</t>
        </is>
      </c>
      <c r="M1113" s="5" t="inlineStr">
        <is>
          <t>Northgate Servicing</t>
        </is>
      </c>
    </row>
    <row r="1114">
      <c r="A1114" s="7" t="inlineStr">
        <is>
          <t>L101109</t>
        </is>
      </c>
      <c r="B1114" s="8" t="n">
        <v>325812.41</v>
      </c>
      <c r="C1114" s="8" t="n">
        <v>325197.74</v>
      </c>
      <c r="D1114" s="27" t="n">
        <v>6.294</v>
      </c>
      <c r="E1114" s="10" t="n">
        <v>670</v>
      </c>
      <c r="F1114" s="12" t="n">
        <v>81.3</v>
      </c>
      <c r="G1114" s="12" t="n">
        <v>40.5</v>
      </c>
      <c r="H1114" s="10" t="n">
        <v>2</v>
      </c>
      <c r="I1114" s="10" t="n">
        <v>358</v>
      </c>
      <c r="J1114" s="7" t="inlineStr">
        <is>
          <t>TX</t>
        </is>
      </c>
      <c r="K1114" s="7" t="inlineStr">
        <is>
          <t>SFR</t>
        </is>
      </c>
      <c r="L1114" s="7" t="inlineStr">
        <is>
          <t>Apex Funding</t>
        </is>
      </c>
      <c r="M1114" s="7" t="inlineStr">
        <is>
          <t>Pier Asset Mgmt</t>
        </is>
      </c>
    </row>
    <row r="1115">
      <c r="A1115" s="5" t="inlineStr">
        <is>
          <t>L101110</t>
        </is>
      </c>
      <c r="B1115" s="16" t="n">
        <v>408639.82</v>
      </c>
      <c r="C1115" s="16" t="n">
        <v>393297.34</v>
      </c>
      <c r="D1115" s="26" t="n">
        <v>6.89</v>
      </c>
      <c r="E1115" s="6" t="n">
        <v>728</v>
      </c>
      <c r="F1115" s="11" t="n">
        <v>71.7</v>
      </c>
      <c r="G1115" s="11" t="n">
        <v>28.1</v>
      </c>
      <c r="H1115" s="6" t="n">
        <v>40</v>
      </c>
      <c r="I1115" s="6" t="n">
        <v>320</v>
      </c>
      <c r="J1115" s="5" t="inlineStr">
        <is>
          <t>FL</t>
        </is>
      </c>
      <c r="K1115" s="5" t="inlineStr">
        <is>
          <t>SFR</t>
        </is>
      </c>
      <c r="L1115" s="5" t="inlineStr">
        <is>
          <t>Meridian Home Loans</t>
        </is>
      </c>
      <c r="M1115" s="5" t="inlineStr">
        <is>
          <t>Summit Loan Servicing</t>
        </is>
      </c>
    </row>
    <row r="1116">
      <c r="A1116" s="7" t="inlineStr">
        <is>
          <t>L101111</t>
        </is>
      </c>
      <c r="B1116" s="8" t="n">
        <v>220778.22</v>
      </c>
      <c r="C1116" s="8" t="n">
        <v>219158.25</v>
      </c>
      <c r="D1116" s="27" t="n">
        <v>7.148</v>
      </c>
      <c r="E1116" s="10" t="n">
        <v>782</v>
      </c>
      <c r="F1116" s="12" t="n">
        <v>71.2</v>
      </c>
      <c r="G1116" s="12" t="n">
        <v>43.9</v>
      </c>
      <c r="H1116" s="10" t="n">
        <v>9</v>
      </c>
      <c r="I1116" s="10" t="n">
        <v>351</v>
      </c>
      <c r="J1116" s="7" t="inlineStr">
        <is>
          <t>NC</t>
        </is>
      </c>
      <c r="K1116" s="7" t="inlineStr">
        <is>
          <t>Multifamily</t>
        </is>
      </c>
      <c r="L1116" s="7" t="inlineStr">
        <is>
          <t>Meridian Home Loans</t>
        </is>
      </c>
      <c r="M1116" s="7" t="inlineStr">
        <is>
          <t>Summit Loan Servicing</t>
        </is>
      </c>
    </row>
    <row r="1117">
      <c r="A1117" s="5" t="inlineStr">
        <is>
          <t>L101112</t>
        </is>
      </c>
      <c r="B1117" s="16" t="n">
        <v>162220.68</v>
      </c>
      <c r="C1117" s="16" t="n">
        <v>162083.18</v>
      </c>
      <c r="D1117" s="26" t="n">
        <v>6.83</v>
      </c>
      <c r="E1117" s="6" t="n">
        <v>804</v>
      </c>
      <c r="F1117" s="11" t="n">
        <v>74.09999999999999</v>
      </c>
      <c r="G1117" s="11" t="n">
        <v>45.3</v>
      </c>
      <c r="H1117" s="6" t="n">
        <v>1</v>
      </c>
      <c r="I1117" s="6" t="n">
        <v>359</v>
      </c>
      <c r="J1117" s="5" t="inlineStr">
        <is>
          <t>WA</t>
        </is>
      </c>
      <c r="K1117" s="5" t="inlineStr">
        <is>
          <t>SFR</t>
        </is>
      </c>
      <c r="L1117" s="5" t="inlineStr">
        <is>
          <t>Coastal Mortgage Co</t>
        </is>
      </c>
      <c r="M1117" s="5" t="inlineStr">
        <is>
          <t>Pier Asset Mgmt</t>
        </is>
      </c>
    </row>
    <row r="1118">
      <c r="A1118" s="7" t="inlineStr">
        <is>
          <t>L101113</t>
        </is>
      </c>
      <c r="B1118" s="8" t="n">
        <v>223205.24</v>
      </c>
      <c r="C1118" s="8" t="n">
        <v>212265.73</v>
      </c>
      <c r="D1118" s="27" t="n">
        <v>6.127</v>
      </c>
      <c r="E1118" s="10" t="n">
        <v>758</v>
      </c>
      <c r="F1118" s="12" t="n">
        <v>83.5</v>
      </c>
      <c r="G1118" s="12" t="n">
        <v>37.5</v>
      </c>
      <c r="H1118" s="10" t="n">
        <v>45</v>
      </c>
      <c r="I1118" s="10" t="n">
        <v>315</v>
      </c>
      <c r="J1118" s="7" t="inlineStr">
        <is>
          <t>IL</t>
        </is>
      </c>
      <c r="K1118" s="7" t="inlineStr">
        <is>
          <t>SFR</t>
        </is>
      </c>
      <c r="L1118" s="7" t="inlineStr">
        <is>
          <t>Apex Funding</t>
        </is>
      </c>
      <c r="M1118" s="7" t="inlineStr">
        <is>
          <t>Pier Asset Mgmt</t>
        </is>
      </c>
    </row>
    <row r="1119">
      <c r="A1119" s="5" t="inlineStr">
        <is>
          <t>L101114</t>
        </is>
      </c>
      <c r="B1119" s="16" t="n">
        <v>251628.97</v>
      </c>
      <c r="C1119" s="16" t="n">
        <v>248764.74</v>
      </c>
      <c r="D1119" s="26" t="n">
        <v>7.24</v>
      </c>
      <c r="E1119" s="6" t="n">
        <v>731</v>
      </c>
      <c r="F1119" s="11" t="n">
        <v>93.8</v>
      </c>
      <c r="G1119" s="11" t="n">
        <v>24</v>
      </c>
      <c r="H1119" s="6" t="n">
        <v>14</v>
      </c>
      <c r="I1119" s="6" t="n">
        <v>346</v>
      </c>
      <c r="J1119" s="5" t="inlineStr">
        <is>
          <t>NC</t>
        </is>
      </c>
      <c r="K1119" s="5" t="inlineStr">
        <is>
          <t>SFR</t>
        </is>
      </c>
      <c r="L1119" s="5" t="inlineStr">
        <is>
          <t>Apex Funding</t>
        </is>
      </c>
      <c r="M1119" s="5" t="inlineStr">
        <is>
          <t>Northgate Servicing</t>
        </is>
      </c>
    </row>
    <row r="1120">
      <c r="A1120" s="7" t="inlineStr">
        <is>
          <t>L101115</t>
        </is>
      </c>
      <c r="B1120" s="8" t="n">
        <v>249607.77</v>
      </c>
      <c r="C1120" s="8" t="n">
        <v>238196.3</v>
      </c>
      <c r="D1120" s="27" t="n">
        <v>5.614</v>
      </c>
      <c r="E1120" s="10" t="n">
        <v>756</v>
      </c>
      <c r="F1120" s="12" t="n">
        <v>81</v>
      </c>
      <c r="G1120" s="12" t="n">
        <v>35.1</v>
      </c>
      <c r="H1120" s="10" t="n">
        <v>39</v>
      </c>
      <c r="I1120" s="10" t="n">
        <v>321</v>
      </c>
      <c r="J1120" s="7" t="inlineStr">
        <is>
          <t>OH</t>
        </is>
      </c>
      <c r="K1120" s="7" t="inlineStr">
        <is>
          <t>SFR</t>
        </is>
      </c>
      <c r="L1120" s="7" t="inlineStr">
        <is>
          <t>Apex Funding</t>
        </is>
      </c>
      <c r="M1120" s="7" t="inlineStr">
        <is>
          <t>Summit Loan Servicing</t>
        </is>
      </c>
    </row>
    <row r="1121">
      <c r="A1121" s="5" t="inlineStr">
        <is>
          <t>L101116</t>
        </is>
      </c>
      <c r="B1121" s="16" t="n">
        <v>361055.93</v>
      </c>
      <c r="C1121" s="16" t="n">
        <v>339869.68</v>
      </c>
      <c r="D1121" s="26" t="n">
        <v>5.212</v>
      </c>
      <c r="E1121" s="6" t="n">
        <v>678</v>
      </c>
      <c r="F1121" s="11" t="n">
        <v>83.59999999999999</v>
      </c>
      <c r="G1121" s="11" t="n">
        <v>37.6</v>
      </c>
      <c r="H1121" s="6" t="n">
        <v>46</v>
      </c>
      <c r="I1121" s="6" t="n">
        <v>314</v>
      </c>
      <c r="J1121" s="5" t="inlineStr">
        <is>
          <t>NC</t>
        </is>
      </c>
      <c r="K1121" s="5" t="inlineStr">
        <is>
          <t>SFR</t>
        </is>
      </c>
      <c r="L1121" s="5" t="inlineStr">
        <is>
          <t>Meridian Home Loans</t>
        </is>
      </c>
      <c r="M1121" s="5" t="inlineStr">
        <is>
          <t>Northgate Servicing</t>
        </is>
      </c>
    </row>
    <row r="1122">
      <c r="A1122" s="7" t="inlineStr">
        <is>
          <t>L101117</t>
        </is>
      </c>
      <c r="B1122" s="8" t="n">
        <v>213962.35</v>
      </c>
      <c r="C1122" s="8" t="n">
        <v>205277.19</v>
      </c>
      <c r="D1122" s="27" t="n">
        <v>3.524</v>
      </c>
      <c r="E1122" s="10" t="n">
        <v>707</v>
      </c>
      <c r="F1122" s="12" t="n">
        <v>71.59999999999999</v>
      </c>
      <c r="G1122" s="12" t="n">
        <v>26.8</v>
      </c>
      <c r="H1122" s="10" t="n">
        <v>25</v>
      </c>
      <c r="I1122" s="10" t="n">
        <v>335</v>
      </c>
      <c r="J1122" s="7" t="inlineStr">
        <is>
          <t>FL</t>
        </is>
      </c>
      <c r="K1122" s="7" t="inlineStr">
        <is>
          <t>SFR</t>
        </is>
      </c>
      <c r="L1122" s="7" t="inlineStr">
        <is>
          <t>Coastal Mortgage Co</t>
        </is>
      </c>
      <c r="M1122" s="7" t="inlineStr">
        <is>
          <t>Summit Loan Servicing</t>
        </is>
      </c>
    </row>
    <row r="1123">
      <c r="A1123" s="5" t="inlineStr">
        <is>
          <t>L101118</t>
        </is>
      </c>
      <c r="B1123" s="16" t="n">
        <v>274638.8</v>
      </c>
      <c r="C1123" s="16" t="n">
        <v>261983.82</v>
      </c>
      <c r="D1123" s="26" t="n">
        <v>6.337</v>
      </c>
      <c r="E1123" s="6" t="n">
        <v>670</v>
      </c>
      <c r="F1123" s="11" t="n">
        <v>65.5</v>
      </c>
      <c r="G1123" s="11" t="n">
        <v>33.1</v>
      </c>
      <c r="H1123" s="6" t="n">
        <v>44</v>
      </c>
      <c r="I1123" s="6" t="n">
        <v>316</v>
      </c>
      <c r="J1123" s="5" t="inlineStr">
        <is>
          <t>FL</t>
        </is>
      </c>
      <c r="K1123" s="5" t="inlineStr">
        <is>
          <t>2-4 Unit</t>
        </is>
      </c>
      <c r="L1123" s="5" t="inlineStr">
        <is>
          <t>Highline Capital</t>
        </is>
      </c>
      <c r="M1123" s="5" t="inlineStr">
        <is>
          <t>Northgate Servicing</t>
        </is>
      </c>
    </row>
    <row r="1124">
      <c r="A1124" s="7" t="inlineStr">
        <is>
          <t>L101119</t>
        </is>
      </c>
      <c r="B1124" s="8" t="n">
        <v>171781.83</v>
      </c>
      <c r="C1124" s="8" t="n">
        <v>162435.95</v>
      </c>
      <c r="D1124" s="27" t="n">
        <v>5.661</v>
      </c>
      <c r="E1124" s="10" t="n">
        <v>646</v>
      </c>
      <c r="F1124" s="12" t="n">
        <v>81.8</v>
      </c>
      <c r="G1124" s="12" t="n">
        <v>24.7</v>
      </c>
      <c r="H1124" s="10" t="n">
        <v>46</v>
      </c>
      <c r="I1124" s="10" t="n">
        <v>314</v>
      </c>
      <c r="J1124" s="7" t="inlineStr">
        <is>
          <t>NC</t>
        </is>
      </c>
      <c r="K1124" s="7" t="inlineStr">
        <is>
          <t>Condo</t>
        </is>
      </c>
      <c r="L1124" s="7" t="inlineStr">
        <is>
          <t>Apex Funding</t>
        </is>
      </c>
      <c r="M1124" s="7" t="inlineStr">
        <is>
          <t>Summit Loan Servicing</t>
        </is>
      </c>
    </row>
    <row r="1125">
      <c r="A1125" s="5" t="inlineStr">
        <is>
          <t>L101120</t>
        </is>
      </c>
      <c r="B1125" s="16" t="n">
        <v>284250.46</v>
      </c>
      <c r="C1125" s="16" t="n">
        <v>282510.84</v>
      </c>
      <c r="D1125" s="26" t="n">
        <v>6.758</v>
      </c>
      <c r="E1125" s="6" t="n">
        <v>733</v>
      </c>
      <c r="F1125" s="11" t="n">
        <v>76.09999999999999</v>
      </c>
      <c r="G1125" s="11" t="n">
        <v>40.9</v>
      </c>
      <c r="H1125" s="6" t="n">
        <v>7</v>
      </c>
      <c r="I1125" s="6" t="n">
        <v>353</v>
      </c>
      <c r="J1125" s="5" t="inlineStr">
        <is>
          <t>FL</t>
        </is>
      </c>
      <c r="K1125" s="5" t="inlineStr">
        <is>
          <t>SFR</t>
        </is>
      </c>
      <c r="L1125" s="5" t="inlineStr">
        <is>
          <t>Highline Capital</t>
        </is>
      </c>
      <c r="M1125" s="5" t="inlineStr">
        <is>
          <t>Pier Asset Mgmt</t>
        </is>
      </c>
    </row>
    <row r="1126">
      <c r="A1126" s="7" t="inlineStr">
        <is>
          <t>L101121</t>
        </is>
      </c>
      <c r="B1126" s="8" t="n">
        <v>243065.93</v>
      </c>
      <c r="C1126" s="8" t="n">
        <v>240850.67</v>
      </c>
      <c r="D1126" s="27" t="n">
        <v>4.626</v>
      </c>
      <c r="E1126" s="10" t="n">
        <v>725</v>
      </c>
      <c r="F1126" s="12" t="n">
        <v>56.9</v>
      </c>
      <c r="G1126" s="12" t="n">
        <v>37.3</v>
      </c>
      <c r="H1126" s="10" t="n">
        <v>7</v>
      </c>
      <c r="I1126" s="10" t="n">
        <v>353</v>
      </c>
      <c r="J1126" s="7" t="inlineStr">
        <is>
          <t>FL</t>
        </is>
      </c>
      <c r="K1126" s="7" t="inlineStr">
        <is>
          <t>SFR</t>
        </is>
      </c>
      <c r="L1126" s="7" t="inlineStr">
        <is>
          <t>Apex Funding</t>
        </is>
      </c>
      <c r="M1126" s="7" t="inlineStr">
        <is>
          <t>Pier Asset Mgmt</t>
        </is>
      </c>
    </row>
    <row r="1127">
      <c r="A1127" s="5" t="inlineStr">
        <is>
          <t>L101122</t>
        </is>
      </c>
      <c r="B1127" s="16" t="n">
        <v>186757.33</v>
      </c>
      <c r="C1127" s="16" t="n">
        <v>183146.07</v>
      </c>
      <c r="D1127" s="26" t="n">
        <v>5.818</v>
      </c>
      <c r="E1127" s="6" t="n">
        <v>753</v>
      </c>
      <c r="F1127" s="11" t="n">
        <v>70.09999999999999</v>
      </c>
      <c r="G1127" s="11" t="n">
        <v>22.8</v>
      </c>
      <c r="H1127" s="6" t="n">
        <v>18</v>
      </c>
      <c r="I1127" s="6" t="n">
        <v>342</v>
      </c>
      <c r="J1127" s="5" t="inlineStr">
        <is>
          <t>GA</t>
        </is>
      </c>
      <c r="K1127" s="5" t="inlineStr">
        <is>
          <t>SFR</t>
        </is>
      </c>
      <c r="L1127" s="5" t="inlineStr">
        <is>
          <t>Highline Capital</t>
        </is>
      </c>
      <c r="M1127" s="5" t="inlineStr">
        <is>
          <t>Northgate Servicing</t>
        </is>
      </c>
    </row>
    <row r="1128">
      <c r="A1128" s="7" t="inlineStr">
        <is>
          <t>L101123</t>
        </is>
      </c>
      <c r="B1128" s="8" t="n">
        <v>223565.5</v>
      </c>
      <c r="C1128" s="8" t="n">
        <v>218044.98</v>
      </c>
      <c r="D1128" s="27" t="n">
        <v>6.823</v>
      </c>
      <c r="E1128" s="10" t="n">
        <v>745</v>
      </c>
      <c r="F1128" s="12" t="n">
        <v>73</v>
      </c>
      <c r="G1128" s="12" t="n">
        <v>38.8</v>
      </c>
      <c r="H1128" s="10" t="n">
        <v>27</v>
      </c>
      <c r="I1128" s="10" t="n">
        <v>333</v>
      </c>
      <c r="J1128" s="7" t="inlineStr">
        <is>
          <t>NC</t>
        </is>
      </c>
      <c r="K1128" s="7" t="inlineStr">
        <is>
          <t>SFR</t>
        </is>
      </c>
      <c r="L1128" s="7" t="inlineStr">
        <is>
          <t>Apex Funding</t>
        </is>
      </c>
      <c r="M1128" s="7" t="inlineStr">
        <is>
          <t>Northgate Servicing</t>
        </is>
      </c>
    </row>
    <row r="1129">
      <c r="A1129" s="5" t="inlineStr">
        <is>
          <t>L101124</t>
        </is>
      </c>
      <c r="B1129" s="16" t="n">
        <v>227644.05</v>
      </c>
      <c r="C1129" s="16" t="n">
        <v>217575.05</v>
      </c>
      <c r="D1129" s="26" t="n">
        <v>5.473</v>
      </c>
      <c r="E1129" s="6" t="n">
        <v>728</v>
      </c>
      <c r="F1129" s="11" t="n">
        <v>67.90000000000001</v>
      </c>
      <c r="G1129" s="11" t="n">
        <v>35.5</v>
      </c>
      <c r="H1129" s="6" t="n">
        <v>37</v>
      </c>
      <c r="I1129" s="6" t="n">
        <v>323</v>
      </c>
      <c r="J1129" s="5" t="inlineStr">
        <is>
          <t>FL</t>
        </is>
      </c>
      <c r="K1129" s="5" t="inlineStr">
        <is>
          <t>Condo</t>
        </is>
      </c>
      <c r="L1129" s="5" t="inlineStr">
        <is>
          <t>Apex Funding</t>
        </is>
      </c>
      <c r="M1129" s="5" t="inlineStr">
        <is>
          <t>Summit Loan Servicing</t>
        </is>
      </c>
    </row>
    <row r="1130">
      <c r="A1130" s="7" t="inlineStr">
        <is>
          <t>L101125</t>
        </is>
      </c>
      <c r="B1130" s="8" t="n">
        <v>220895.65</v>
      </c>
      <c r="C1130" s="8" t="n">
        <v>219151</v>
      </c>
      <c r="D1130" s="27" t="n">
        <v>6.768</v>
      </c>
      <c r="E1130" s="10" t="n">
        <v>746</v>
      </c>
      <c r="F1130" s="12" t="n">
        <v>91.8</v>
      </c>
      <c r="G1130" s="12" t="n">
        <v>40.1</v>
      </c>
      <c r="H1130" s="10" t="n">
        <v>9</v>
      </c>
      <c r="I1130" s="10" t="n">
        <v>351</v>
      </c>
      <c r="J1130" s="7" t="inlineStr">
        <is>
          <t>CA</t>
        </is>
      </c>
      <c r="K1130" s="7" t="inlineStr">
        <is>
          <t>SFR</t>
        </is>
      </c>
      <c r="L1130" s="7" t="inlineStr">
        <is>
          <t>Apex Funding</t>
        </is>
      </c>
      <c r="M1130" s="7" t="inlineStr">
        <is>
          <t>Pier Asset Mgmt</t>
        </is>
      </c>
    </row>
    <row r="1131">
      <c r="A1131" s="5" t="inlineStr">
        <is>
          <t>L101126</t>
        </is>
      </c>
      <c r="B1131" s="16" t="n">
        <v>451336.94</v>
      </c>
      <c r="C1131" s="16" t="n">
        <v>435332.52</v>
      </c>
      <c r="D1131" s="26" t="n">
        <v>5.899</v>
      </c>
      <c r="E1131" s="6" t="n">
        <v>713</v>
      </c>
      <c r="F1131" s="11" t="n">
        <v>79.8</v>
      </c>
      <c r="G1131" s="11" t="n">
        <v>32.9</v>
      </c>
      <c r="H1131" s="6" t="n">
        <v>10</v>
      </c>
      <c r="I1131" s="6" t="n">
        <v>170</v>
      </c>
      <c r="J1131" s="5" t="inlineStr">
        <is>
          <t>AZ</t>
        </is>
      </c>
      <c r="K1131" s="5" t="inlineStr">
        <is>
          <t>2-4 Unit</t>
        </is>
      </c>
      <c r="L1131" s="5" t="inlineStr">
        <is>
          <t>Coastal Mortgage Co</t>
        </is>
      </c>
      <c r="M1131" s="5" t="inlineStr">
        <is>
          <t>Summit Loan Servicing</t>
        </is>
      </c>
    </row>
    <row r="1132">
      <c r="A1132" s="7" t="inlineStr">
        <is>
          <t>L101127</t>
        </is>
      </c>
      <c r="B1132" s="8" t="n">
        <v>234578.11</v>
      </c>
      <c r="C1132" s="8" t="n">
        <v>231191.91</v>
      </c>
      <c r="D1132" s="27" t="n">
        <v>6.37</v>
      </c>
      <c r="E1132" s="10" t="n">
        <v>738</v>
      </c>
      <c r="F1132" s="12" t="n">
        <v>90.5</v>
      </c>
      <c r="G1132" s="12" t="n">
        <v>29.6</v>
      </c>
      <c r="H1132" s="10" t="n">
        <v>15</v>
      </c>
      <c r="I1132" s="10" t="n">
        <v>345</v>
      </c>
      <c r="J1132" s="7" t="inlineStr">
        <is>
          <t>NY</t>
        </is>
      </c>
      <c r="K1132" s="7" t="inlineStr">
        <is>
          <t>SFR</t>
        </is>
      </c>
      <c r="L1132" s="7" t="inlineStr">
        <is>
          <t>Coastal Mortgage Co</t>
        </is>
      </c>
      <c r="M1132" s="7" t="inlineStr">
        <is>
          <t>Northgate Servicing</t>
        </is>
      </c>
    </row>
    <row r="1133">
      <c r="A1133" s="5" t="inlineStr">
        <is>
          <t>L101128</t>
        </is>
      </c>
      <c r="B1133" s="16" t="n">
        <v>222935.19</v>
      </c>
      <c r="C1133" s="16" t="n">
        <v>220444.2</v>
      </c>
      <c r="D1133" s="26" t="n">
        <v>6.936</v>
      </c>
      <c r="E1133" s="6" t="n">
        <v>675</v>
      </c>
      <c r="F1133" s="11" t="n">
        <v>77.2</v>
      </c>
      <c r="G1133" s="11" t="n">
        <v>29.8</v>
      </c>
      <c r="H1133" s="6" t="n">
        <v>13</v>
      </c>
      <c r="I1133" s="6" t="n">
        <v>347</v>
      </c>
      <c r="J1133" s="5" t="inlineStr">
        <is>
          <t>NC</t>
        </is>
      </c>
      <c r="K1133" s="5" t="inlineStr">
        <is>
          <t>Condo</t>
        </is>
      </c>
      <c r="L1133" s="5" t="inlineStr">
        <is>
          <t>Meridian Home Loans</t>
        </is>
      </c>
      <c r="M1133" s="5" t="inlineStr">
        <is>
          <t>Pier Asset Mgmt</t>
        </is>
      </c>
    </row>
    <row r="1134">
      <c r="A1134" s="7" t="inlineStr">
        <is>
          <t>L101129</t>
        </is>
      </c>
      <c r="B1134" s="8" t="n">
        <v>116528.62</v>
      </c>
      <c r="C1134" s="8" t="n">
        <v>111850.75</v>
      </c>
      <c r="D1134" s="27" t="n">
        <v>7.258</v>
      </c>
      <c r="E1134" s="10" t="n">
        <v>735</v>
      </c>
      <c r="F1134" s="12" t="n">
        <v>75</v>
      </c>
      <c r="G1134" s="12" t="n">
        <v>31.7</v>
      </c>
      <c r="H1134" s="10" t="n">
        <v>45</v>
      </c>
      <c r="I1134" s="10" t="n">
        <v>315</v>
      </c>
      <c r="J1134" s="7" t="inlineStr">
        <is>
          <t>TX</t>
        </is>
      </c>
      <c r="K1134" s="7" t="inlineStr">
        <is>
          <t>2-4 Unit</t>
        </is>
      </c>
      <c r="L1134" s="7" t="inlineStr">
        <is>
          <t>Coastal Mortgage Co</t>
        </is>
      </c>
      <c r="M1134" s="7" t="inlineStr">
        <is>
          <t>Summit Loan Servicing</t>
        </is>
      </c>
    </row>
    <row r="1135">
      <c r="A1135" s="5" t="inlineStr">
        <is>
          <t>L101130</t>
        </is>
      </c>
      <c r="B1135" s="16" t="n">
        <v>177553.53</v>
      </c>
      <c r="C1135" s="16" t="n">
        <v>174340.31</v>
      </c>
      <c r="D1135" s="26" t="n">
        <v>6.483</v>
      </c>
      <c r="E1135" s="6" t="n">
        <v>752</v>
      </c>
      <c r="F1135" s="11" t="n">
        <v>62.8</v>
      </c>
      <c r="G1135" s="11" t="n">
        <v>36.2</v>
      </c>
      <c r="H1135" s="6" t="n">
        <v>19</v>
      </c>
      <c r="I1135" s="6" t="n">
        <v>341</v>
      </c>
      <c r="J1135" s="5" t="inlineStr">
        <is>
          <t>NY</t>
        </is>
      </c>
      <c r="K1135" s="5" t="inlineStr">
        <is>
          <t>Condo</t>
        </is>
      </c>
      <c r="L1135" s="5" t="inlineStr">
        <is>
          <t>Meridian Home Loans</t>
        </is>
      </c>
      <c r="M1135" s="5" t="inlineStr">
        <is>
          <t>Summit Loan Servicing</t>
        </is>
      </c>
    </row>
    <row r="1136">
      <c r="A1136" s="7" t="inlineStr">
        <is>
          <t>L101131</t>
        </is>
      </c>
      <c r="B1136" s="8" t="n">
        <v>221443.84</v>
      </c>
      <c r="C1136" s="8" t="n">
        <v>210846.43</v>
      </c>
      <c r="D1136" s="27" t="n">
        <v>5.667</v>
      </c>
      <c r="E1136" s="10" t="n">
        <v>678</v>
      </c>
      <c r="F1136" s="12" t="n">
        <v>74.09999999999999</v>
      </c>
      <c r="G1136" s="12" t="n">
        <v>37.2</v>
      </c>
      <c r="H1136" s="10" t="n">
        <v>41</v>
      </c>
      <c r="I1136" s="10" t="n">
        <v>319</v>
      </c>
      <c r="J1136" s="7" t="inlineStr">
        <is>
          <t>NC</t>
        </is>
      </c>
      <c r="K1136" s="7" t="inlineStr">
        <is>
          <t>2-4 Unit</t>
        </is>
      </c>
      <c r="L1136" s="7" t="inlineStr">
        <is>
          <t>Coastal Mortgage Co</t>
        </is>
      </c>
      <c r="M1136" s="7" t="inlineStr">
        <is>
          <t>Pier Asset Mgmt</t>
        </is>
      </c>
    </row>
    <row r="1137">
      <c r="A1137" s="5" t="inlineStr">
        <is>
          <t>L101132</t>
        </is>
      </c>
      <c r="B1137" s="16" t="n">
        <v>190985.27</v>
      </c>
      <c r="C1137" s="16" t="n">
        <v>190410.72</v>
      </c>
      <c r="D1137" s="26" t="n">
        <v>5.988</v>
      </c>
      <c r="E1137" s="6" t="n">
        <v>718</v>
      </c>
      <c r="F1137" s="11" t="n">
        <v>74.2</v>
      </c>
      <c r="G1137" s="11" t="n">
        <v>34.5</v>
      </c>
      <c r="H1137" s="6" t="n">
        <v>3</v>
      </c>
      <c r="I1137" s="6" t="n">
        <v>357</v>
      </c>
      <c r="J1137" s="5" t="inlineStr">
        <is>
          <t>TX</t>
        </is>
      </c>
      <c r="K1137" s="5" t="inlineStr">
        <is>
          <t>2-4 Unit</t>
        </is>
      </c>
      <c r="L1137" s="5" t="inlineStr">
        <is>
          <t>Highline Capital</t>
        </is>
      </c>
      <c r="M1137" s="5" t="inlineStr">
        <is>
          <t>Northgate Servicing</t>
        </is>
      </c>
    </row>
    <row r="1138">
      <c r="A1138" s="7" t="inlineStr">
        <is>
          <t>L101133</t>
        </is>
      </c>
      <c r="B1138" s="8" t="n">
        <v>393799.69</v>
      </c>
      <c r="C1138" s="8" t="n">
        <v>392158.13</v>
      </c>
      <c r="D1138" s="27" t="n">
        <v>6.973</v>
      </c>
      <c r="E1138" s="10" t="n">
        <v>681</v>
      </c>
      <c r="F1138" s="12" t="n">
        <v>57.6</v>
      </c>
      <c r="G1138" s="12" t="n">
        <v>32.6</v>
      </c>
      <c r="H1138" s="10" t="n">
        <v>5</v>
      </c>
      <c r="I1138" s="10" t="n">
        <v>355</v>
      </c>
      <c r="J1138" s="7" t="inlineStr">
        <is>
          <t>NY</t>
        </is>
      </c>
      <c r="K1138" s="7" t="inlineStr">
        <is>
          <t>SFR</t>
        </is>
      </c>
      <c r="L1138" s="7" t="inlineStr">
        <is>
          <t>Coastal Mortgage Co</t>
        </is>
      </c>
      <c r="M1138" s="7" t="inlineStr">
        <is>
          <t>Northgate Servicing</t>
        </is>
      </c>
    </row>
    <row r="1139">
      <c r="A1139" s="5" t="inlineStr">
        <is>
          <t>L101134</t>
        </is>
      </c>
      <c r="B1139" s="16" t="n">
        <v>229182.01</v>
      </c>
      <c r="C1139" s="16" t="n">
        <v>218760.99</v>
      </c>
      <c r="D1139" s="26" t="n">
        <v>5.481</v>
      </c>
      <c r="E1139" s="6" t="n">
        <v>686</v>
      </c>
      <c r="F1139" s="11" t="n">
        <v>67.5</v>
      </c>
      <c r="G1139" s="11" t="n">
        <v>33.2</v>
      </c>
      <c r="H1139" s="6" t="n">
        <v>38</v>
      </c>
      <c r="I1139" s="6" t="n">
        <v>322</v>
      </c>
      <c r="J1139" s="5" t="inlineStr">
        <is>
          <t>AZ</t>
        </is>
      </c>
      <c r="K1139" s="5" t="inlineStr">
        <is>
          <t>SFR</t>
        </is>
      </c>
      <c r="L1139" s="5" t="inlineStr">
        <is>
          <t>Apex Funding</t>
        </is>
      </c>
      <c r="M1139" s="5" t="inlineStr">
        <is>
          <t>Northgate Servicing</t>
        </is>
      </c>
    </row>
    <row r="1140">
      <c r="A1140" s="7" t="inlineStr">
        <is>
          <t>L101135</t>
        </is>
      </c>
      <c r="B1140" s="8" t="n">
        <v>381152.75</v>
      </c>
      <c r="C1140" s="8" t="n">
        <v>376678</v>
      </c>
      <c r="D1140" s="27" t="n">
        <v>6.24</v>
      </c>
      <c r="E1140" s="10" t="n">
        <v>653</v>
      </c>
      <c r="F1140" s="12" t="n">
        <v>70.09999999999999</v>
      </c>
      <c r="G1140" s="12" t="n">
        <v>55</v>
      </c>
      <c r="H1140" s="10" t="n">
        <v>12</v>
      </c>
      <c r="I1140" s="10" t="n">
        <v>348</v>
      </c>
      <c r="J1140" s="7" t="inlineStr">
        <is>
          <t>AZ</t>
        </is>
      </c>
      <c r="K1140" s="7" t="inlineStr">
        <is>
          <t>SFR</t>
        </is>
      </c>
      <c r="L1140" s="7" t="inlineStr">
        <is>
          <t>Coastal Mortgage Co</t>
        </is>
      </c>
      <c r="M1140" s="7" t="inlineStr">
        <is>
          <t>Pier Asset Mgmt</t>
        </is>
      </c>
    </row>
    <row r="1141">
      <c r="A1141" s="5" t="inlineStr">
        <is>
          <t>L101136</t>
        </is>
      </c>
      <c r="B1141" s="16" t="n">
        <v>248102.35</v>
      </c>
      <c r="C1141" s="16" t="n">
        <v>247116.95</v>
      </c>
      <c r="D1141" s="26" t="n">
        <v>6.053</v>
      </c>
      <c r="E1141" s="6" t="n">
        <v>785</v>
      </c>
      <c r="F1141" s="11" t="n">
        <v>79</v>
      </c>
      <c r="G1141" s="11" t="n">
        <v>29.8</v>
      </c>
      <c r="H1141" s="6" t="n">
        <v>4</v>
      </c>
      <c r="I1141" s="6" t="n">
        <v>356</v>
      </c>
      <c r="J1141" s="5" t="inlineStr">
        <is>
          <t>NY</t>
        </is>
      </c>
      <c r="K1141" s="5" t="inlineStr">
        <is>
          <t>2-4 Unit</t>
        </is>
      </c>
      <c r="L1141" s="5" t="inlineStr">
        <is>
          <t>Highline Capital</t>
        </is>
      </c>
      <c r="M1141" s="5" t="inlineStr">
        <is>
          <t>Northgate Servicing</t>
        </is>
      </c>
    </row>
    <row r="1142">
      <c r="A1142" s="7" t="inlineStr">
        <is>
          <t>L101137</t>
        </is>
      </c>
      <c r="B1142" s="8" t="n">
        <v>245985.96</v>
      </c>
      <c r="C1142" s="8" t="n">
        <v>239042.01</v>
      </c>
      <c r="D1142" s="27" t="n">
        <v>6.307</v>
      </c>
      <c r="E1142" s="10" t="n">
        <v>774</v>
      </c>
      <c r="F1142" s="12" t="n">
        <v>79.5</v>
      </c>
      <c r="G1142" s="12" t="n">
        <v>31.5</v>
      </c>
      <c r="H1142" s="10" t="n">
        <v>28</v>
      </c>
      <c r="I1142" s="10" t="n">
        <v>332</v>
      </c>
      <c r="J1142" s="7" t="inlineStr">
        <is>
          <t>TX</t>
        </is>
      </c>
      <c r="K1142" s="7" t="inlineStr">
        <is>
          <t>SFR</t>
        </is>
      </c>
      <c r="L1142" s="7" t="inlineStr">
        <is>
          <t>Meridian Home Loans</t>
        </is>
      </c>
      <c r="M1142" s="7" t="inlineStr">
        <is>
          <t>Northgate Servicing</t>
        </is>
      </c>
    </row>
    <row r="1143">
      <c r="A1143" s="5" t="inlineStr">
        <is>
          <t>L101138</t>
        </is>
      </c>
      <c r="B1143" s="16" t="n">
        <v>235371.7</v>
      </c>
      <c r="C1143" s="16" t="n">
        <v>233540.6</v>
      </c>
      <c r="D1143" s="26" t="n">
        <v>5.492</v>
      </c>
      <c r="E1143" s="6" t="n">
        <v>745</v>
      </c>
      <c r="F1143" s="11" t="n">
        <v>67</v>
      </c>
      <c r="G1143" s="11" t="n">
        <v>55</v>
      </c>
      <c r="H1143" s="6" t="n">
        <v>7</v>
      </c>
      <c r="I1143" s="6" t="n">
        <v>353</v>
      </c>
      <c r="J1143" s="5" t="inlineStr">
        <is>
          <t>CA</t>
        </is>
      </c>
      <c r="K1143" s="5" t="inlineStr">
        <is>
          <t>Multifamily</t>
        </is>
      </c>
      <c r="L1143" s="5" t="inlineStr">
        <is>
          <t>Highline Capital</t>
        </is>
      </c>
      <c r="M1143" s="5" t="inlineStr">
        <is>
          <t>Northgate Servicing</t>
        </is>
      </c>
    </row>
    <row r="1144">
      <c r="A1144" s="7" t="inlineStr">
        <is>
          <t>L101139</t>
        </is>
      </c>
      <c r="B1144" s="8" t="n">
        <v>243124.44</v>
      </c>
      <c r="C1144" s="8" t="n">
        <v>240323.29</v>
      </c>
      <c r="D1144" s="27" t="n">
        <v>4.733</v>
      </c>
      <c r="E1144" s="10" t="n">
        <v>820</v>
      </c>
      <c r="F1144" s="12" t="n">
        <v>79.59999999999999</v>
      </c>
      <c r="G1144" s="12" t="n">
        <v>39.4</v>
      </c>
      <c r="H1144" s="10" t="n">
        <v>3</v>
      </c>
      <c r="I1144" s="10" t="n">
        <v>177</v>
      </c>
      <c r="J1144" s="7" t="inlineStr">
        <is>
          <t>GA</t>
        </is>
      </c>
      <c r="K1144" s="7" t="inlineStr">
        <is>
          <t>SFR</t>
        </is>
      </c>
      <c r="L1144" s="7" t="inlineStr">
        <is>
          <t>Apex Funding</t>
        </is>
      </c>
      <c r="M1144" s="7" t="inlineStr">
        <is>
          <t>Pier Asset Mgmt</t>
        </is>
      </c>
    </row>
    <row r="1145">
      <c r="A1145" s="5" t="inlineStr">
        <is>
          <t>L101140</t>
        </is>
      </c>
      <c r="B1145" s="16" t="n">
        <v>443112.18</v>
      </c>
      <c r="C1145" s="16" t="n">
        <v>435238.42</v>
      </c>
      <c r="D1145" s="26" t="n">
        <v>6.869</v>
      </c>
      <c r="E1145" s="6" t="n">
        <v>705</v>
      </c>
      <c r="F1145" s="11" t="n">
        <v>71.8</v>
      </c>
      <c r="G1145" s="11" t="n">
        <v>25</v>
      </c>
      <c r="H1145" s="6" t="n">
        <v>20</v>
      </c>
      <c r="I1145" s="6" t="n">
        <v>340</v>
      </c>
      <c r="J1145" s="5" t="inlineStr">
        <is>
          <t>NC</t>
        </is>
      </c>
      <c r="K1145" s="5" t="inlineStr">
        <is>
          <t>Condo</t>
        </is>
      </c>
      <c r="L1145" s="5" t="inlineStr">
        <is>
          <t>Highline Capital</t>
        </is>
      </c>
      <c r="M1145" s="5" t="inlineStr">
        <is>
          <t>Northgate Servicing</t>
        </is>
      </c>
    </row>
    <row r="1146">
      <c r="A1146" s="7" t="inlineStr">
        <is>
          <t>L101141</t>
        </is>
      </c>
      <c r="B1146" s="8" t="n">
        <v>107811.14</v>
      </c>
      <c r="C1146" s="8" t="n">
        <v>105459.03</v>
      </c>
      <c r="D1146" s="27" t="n">
        <v>7.268</v>
      </c>
      <c r="E1146" s="10" t="n">
        <v>820</v>
      </c>
      <c r="F1146" s="12" t="n">
        <v>39.6</v>
      </c>
      <c r="G1146" s="12" t="n">
        <v>42.7</v>
      </c>
      <c r="H1146" s="10" t="n">
        <v>26</v>
      </c>
      <c r="I1146" s="10" t="n">
        <v>334</v>
      </c>
      <c r="J1146" s="7" t="inlineStr">
        <is>
          <t>GA</t>
        </is>
      </c>
      <c r="K1146" s="7" t="inlineStr">
        <is>
          <t>SFR</t>
        </is>
      </c>
      <c r="L1146" s="7" t="inlineStr">
        <is>
          <t>Meridian Home Loans</t>
        </is>
      </c>
      <c r="M1146" s="7" t="inlineStr">
        <is>
          <t>Summit Loan Servicing</t>
        </is>
      </c>
    </row>
    <row r="1147">
      <c r="A1147" s="5" t="inlineStr">
        <is>
          <t>L101142</t>
        </is>
      </c>
      <c r="B1147" s="16" t="n">
        <v>120506.5</v>
      </c>
      <c r="C1147" s="16" t="n">
        <v>108467.12</v>
      </c>
      <c r="D1147" s="26" t="n">
        <v>4.787</v>
      </c>
      <c r="E1147" s="6" t="n">
        <v>702</v>
      </c>
      <c r="F1147" s="11" t="n">
        <v>68.2</v>
      </c>
      <c r="G1147" s="11" t="n">
        <v>28.7</v>
      </c>
      <c r="H1147" s="6" t="n">
        <v>25</v>
      </c>
      <c r="I1147" s="6" t="n">
        <v>155</v>
      </c>
      <c r="J1147" s="5" t="inlineStr">
        <is>
          <t>IL</t>
        </is>
      </c>
      <c r="K1147" s="5" t="inlineStr">
        <is>
          <t>Multifamily</t>
        </is>
      </c>
      <c r="L1147" s="5" t="inlineStr">
        <is>
          <t>Highline Capital</t>
        </is>
      </c>
      <c r="M1147" s="5" t="inlineStr">
        <is>
          <t>Northgate Servicing</t>
        </is>
      </c>
    </row>
    <row r="1148">
      <c r="A1148" s="7" t="inlineStr">
        <is>
          <t>L101143</t>
        </is>
      </c>
      <c r="B1148" s="8" t="n">
        <v>200764.97</v>
      </c>
      <c r="C1148" s="8" t="n">
        <v>195521.58</v>
      </c>
      <c r="D1148" s="27" t="n">
        <v>6.732</v>
      </c>
      <c r="E1148" s="10" t="n">
        <v>729</v>
      </c>
      <c r="F1148" s="12" t="n">
        <v>86.90000000000001</v>
      </c>
      <c r="G1148" s="12" t="n">
        <v>43.3</v>
      </c>
      <c r="H1148" s="10" t="n">
        <v>28</v>
      </c>
      <c r="I1148" s="10" t="n">
        <v>332</v>
      </c>
      <c r="J1148" s="7" t="inlineStr">
        <is>
          <t>CA</t>
        </is>
      </c>
      <c r="K1148" s="7" t="inlineStr">
        <is>
          <t>SFR</t>
        </is>
      </c>
      <c r="L1148" s="7" t="inlineStr">
        <is>
          <t>Highline Capital</t>
        </is>
      </c>
      <c r="M1148" s="7" t="inlineStr">
        <is>
          <t>Pier Asset Mgmt</t>
        </is>
      </c>
    </row>
    <row r="1149">
      <c r="A1149" s="5" t="inlineStr">
        <is>
          <t>L101144</t>
        </is>
      </c>
      <c r="B1149" s="16" t="n">
        <v>244039.35</v>
      </c>
      <c r="C1149" s="16" t="n">
        <v>243666.82</v>
      </c>
      <c r="D1149" s="26" t="n">
        <v>7.375</v>
      </c>
      <c r="E1149" s="6" t="n">
        <v>693</v>
      </c>
      <c r="F1149" s="11" t="n">
        <v>53.8</v>
      </c>
      <c r="G1149" s="11" t="n">
        <v>34.3</v>
      </c>
      <c r="H1149" s="6" t="n">
        <v>2</v>
      </c>
      <c r="I1149" s="6" t="n">
        <v>358</v>
      </c>
      <c r="J1149" s="5" t="inlineStr">
        <is>
          <t>FL</t>
        </is>
      </c>
      <c r="K1149" s="5" t="inlineStr">
        <is>
          <t>SFR</t>
        </is>
      </c>
      <c r="L1149" s="5" t="inlineStr">
        <is>
          <t>Coastal Mortgage Co</t>
        </is>
      </c>
      <c r="M1149" s="5" t="inlineStr">
        <is>
          <t>Summit Loan Servicing</t>
        </is>
      </c>
    </row>
    <row r="1150">
      <c r="A1150" s="7" t="inlineStr">
        <is>
          <t>L101145</t>
        </is>
      </c>
      <c r="B1150" s="8" t="n">
        <v>309135.99</v>
      </c>
      <c r="C1150" s="8" t="n">
        <v>305405.26</v>
      </c>
      <c r="D1150" s="27" t="n">
        <v>6.936</v>
      </c>
      <c r="E1150" s="10" t="n">
        <v>735</v>
      </c>
      <c r="F1150" s="12" t="n">
        <v>75.40000000000001</v>
      </c>
      <c r="G1150" s="12" t="n">
        <v>32.5</v>
      </c>
      <c r="H1150" s="10" t="n">
        <v>14</v>
      </c>
      <c r="I1150" s="10" t="n">
        <v>346</v>
      </c>
      <c r="J1150" s="7" t="inlineStr">
        <is>
          <t>CA</t>
        </is>
      </c>
      <c r="K1150" s="7" t="inlineStr">
        <is>
          <t>2-4 Unit</t>
        </is>
      </c>
      <c r="L1150" s="7" t="inlineStr">
        <is>
          <t>Apex Funding</t>
        </is>
      </c>
      <c r="M1150" s="7" t="inlineStr">
        <is>
          <t>Summit Loan Servicing</t>
        </is>
      </c>
    </row>
    <row r="1151">
      <c r="A1151" s="5" t="inlineStr">
        <is>
          <t>L101146</t>
        </is>
      </c>
      <c r="B1151" s="16" t="n">
        <v>286524.84</v>
      </c>
      <c r="C1151" s="16" t="n">
        <v>281500.16</v>
      </c>
      <c r="D1151" s="26" t="n">
        <v>6.025</v>
      </c>
      <c r="E1151" s="6" t="n">
        <v>761</v>
      </c>
      <c r="F1151" s="11" t="n">
        <v>93</v>
      </c>
      <c r="G1151" s="11" t="n">
        <v>48.9</v>
      </c>
      <c r="H1151" s="6" t="n">
        <v>17</v>
      </c>
      <c r="I1151" s="6" t="n">
        <v>343</v>
      </c>
      <c r="J1151" s="5" t="inlineStr">
        <is>
          <t>IL</t>
        </is>
      </c>
      <c r="K1151" s="5" t="inlineStr">
        <is>
          <t>SFR</t>
        </is>
      </c>
      <c r="L1151" s="5" t="inlineStr">
        <is>
          <t>Apex Funding</t>
        </is>
      </c>
      <c r="M1151" s="5" t="inlineStr">
        <is>
          <t>Pier Asset Mgmt</t>
        </is>
      </c>
    </row>
    <row r="1152">
      <c r="A1152" s="7" t="inlineStr">
        <is>
          <t>L101147</t>
        </is>
      </c>
      <c r="B1152" s="8" t="n">
        <v>212248.69</v>
      </c>
      <c r="C1152" s="8" t="n">
        <v>208928.64</v>
      </c>
      <c r="D1152" s="27" t="n">
        <v>5.551</v>
      </c>
      <c r="E1152" s="10" t="n">
        <v>709</v>
      </c>
      <c r="F1152" s="12" t="n">
        <v>64.90000000000001</v>
      </c>
      <c r="G1152" s="12" t="n">
        <v>40.5</v>
      </c>
      <c r="H1152" s="10" t="n">
        <v>14</v>
      </c>
      <c r="I1152" s="10" t="n">
        <v>346</v>
      </c>
      <c r="J1152" s="7" t="inlineStr">
        <is>
          <t>NY</t>
        </is>
      </c>
      <c r="K1152" s="7" t="inlineStr">
        <is>
          <t>SFR</t>
        </is>
      </c>
      <c r="L1152" s="7" t="inlineStr">
        <is>
          <t>Meridian Home Loans</t>
        </is>
      </c>
      <c r="M1152" s="7" t="inlineStr">
        <is>
          <t>Pier Asset Mgmt</t>
        </is>
      </c>
    </row>
    <row r="1153">
      <c r="A1153" s="5" t="inlineStr">
        <is>
          <t>L101148</t>
        </is>
      </c>
      <c r="B1153" s="16" t="n">
        <v>346856.11</v>
      </c>
      <c r="C1153" s="16" t="n">
        <v>337720.87</v>
      </c>
      <c r="D1153" s="26" t="n">
        <v>6.473</v>
      </c>
      <c r="E1153" s="6" t="n">
        <v>813</v>
      </c>
      <c r="F1153" s="11" t="n">
        <v>74</v>
      </c>
      <c r="G1153" s="11" t="n">
        <v>43.8</v>
      </c>
      <c r="H1153" s="6" t="n">
        <v>27</v>
      </c>
      <c r="I1153" s="6" t="n">
        <v>333</v>
      </c>
      <c r="J1153" s="5" t="inlineStr">
        <is>
          <t>CA</t>
        </is>
      </c>
      <c r="K1153" s="5" t="inlineStr">
        <is>
          <t>2-4 Unit</t>
        </is>
      </c>
      <c r="L1153" s="5" t="inlineStr">
        <is>
          <t>Apex Funding</t>
        </is>
      </c>
      <c r="M1153" s="5" t="inlineStr">
        <is>
          <t>Summit Loan Servicing</t>
        </is>
      </c>
    </row>
    <row r="1154">
      <c r="A1154" s="7" t="inlineStr">
        <is>
          <t>L101149</t>
        </is>
      </c>
      <c r="B1154" s="8" t="n">
        <v>348212.56</v>
      </c>
      <c r="C1154" s="8" t="n">
        <v>344736.97</v>
      </c>
      <c r="D1154" s="27" t="n">
        <v>6.623</v>
      </c>
      <c r="E1154" s="10" t="n">
        <v>728</v>
      </c>
      <c r="F1154" s="12" t="n">
        <v>58.4</v>
      </c>
      <c r="G1154" s="12" t="n">
        <v>39.5</v>
      </c>
      <c r="H1154" s="10" t="n">
        <v>11</v>
      </c>
      <c r="I1154" s="10" t="n">
        <v>349</v>
      </c>
      <c r="J1154" s="7" t="inlineStr">
        <is>
          <t>NC</t>
        </is>
      </c>
      <c r="K1154" s="7" t="inlineStr">
        <is>
          <t>2-4 Unit</t>
        </is>
      </c>
      <c r="L1154" s="7" t="inlineStr">
        <is>
          <t>Apex Funding</t>
        </is>
      </c>
      <c r="M1154" s="7" t="inlineStr">
        <is>
          <t>Summit Loan Servicing</t>
        </is>
      </c>
    </row>
    <row r="1155">
      <c r="A1155" s="5" t="inlineStr">
        <is>
          <t>L101150</t>
        </is>
      </c>
      <c r="B1155" s="16" t="n">
        <v>258957.76</v>
      </c>
      <c r="C1155" s="16" t="n">
        <v>251334.79</v>
      </c>
      <c r="D1155" s="26" t="n">
        <v>6.486</v>
      </c>
      <c r="E1155" s="6" t="n">
        <v>730</v>
      </c>
      <c r="F1155" s="11" t="n">
        <v>93.5</v>
      </c>
      <c r="G1155" s="11" t="n">
        <v>32.4</v>
      </c>
      <c r="H1155" s="6" t="n">
        <v>30</v>
      </c>
      <c r="I1155" s="6" t="n">
        <v>330</v>
      </c>
      <c r="J1155" s="5" t="inlineStr">
        <is>
          <t>NY</t>
        </is>
      </c>
      <c r="K1155" s="5" t="inlineStr">
        <is>
          <t>SFR</t>
        </is>
      </c>
      <c r="L1155" s="5" t="inlineStr">
        <is>
          <t>Meridian Home Loans</t>
        </is>
      </c>
      <c r="M1155" s="5" t="inlineStr">
        <is>
          <t>Pier Asset Mgmt</t>
        </is>
      </c>
    </row>
    <row r="1156">
      <c r="A1156" s="7" t="inlineStr">
        <is>
          <t>L101151</t>
        </is>
      </c>
      <c r="B1156" s="8" t="n">
        <v>340077.96</v>
      </c>
      <c r="C1156" s="8" t="n">
        <v>324134.52</v>
      </c>
      <c r="D1156" s="27" t="n">
        <v>6.238</v>
      </c>
      <c r="E1156" s="10" t="n">
        <v>665</v>
      </c>
      <c r="F1156" s="12" t="n">
        <v>73</v>
      </c>
      <c r="G1156" s="12" t="n">
        <v>40.9</v>
      </c>
      <c r="H1156" s="10" t="n">
        <v>44</v>
      </c>
      <c r="I1156" s="10" t="n">
        <v>316</v>
      </c>
      <c r="J1156" s="7" t="inlineStr">
        <is>
          <t>WA</t>
        </is>
      </c>
      <c r="K1156" s="7" t="inlineStr">
        <is>
          <t>SFR</t>
        </is>
      </c>
      <c r="L1156" s="7" t="inlineStr">
        <is>
          <t>Coastal Mortgage Co</t>
        </is>
      </c>
      <c r="M1156" s="7" t="inlineStr">
        <is>
          <t>Pier Asset Mgmt</t>
        </is>
      </c>
    </row>
    <row r="1157">
      <c r="A1157" s="5" t="inlineStr">
        <is>
          <t>L101152</t>
        </is>
      </c>
      <c r="B1157" s="16" t="n">
        <v>267112.67</v>
      </c>
      <c r="C1157" s="16" t="n">
        <v>256929.87</v>
      </c>
      <c r="D1157" s="26" t="n">
        <v>5.426</v>
      </c>
      <c r="E1157" s="6" t="n">
        <v>738</v>
      </c>
      <c r="F1157" s="11" t="n">
        <v>74.59999999999999</v>
      </c>
      <c r="G1157" s="11" t="n">
        <v>45.7</v>
      </c>
      <c r="H1157" s="6" t="n">
        <v>32</v>
      </c>
      <c r="I1157" s="6" t="n">
        <v>328</v>
      </c>
      <c r="J1157" s="5" t="inlineStr">
        <is>
          <t>IL</t>
        </is>
      </c>
      <c r="K1157" s="5" t="inlineStr">
        <is>
          <t>SFR</t>
        </is>
      </c>
      <c r="L1157" s="5" t="inlineStr">
        <is>
          <t>Apex Funding</t>
        </is>
      </c>
      <c r="M1157" s="5" t="inlineStr">
        <is>
          <t>Pier Asset Mgmt</t>
        </is>
      </c>
    </row>
    <row r="1158">
      <c r="A1158" s="7" t="inlineStr">
        <is>
          <t>L101153</t>
        </is>
      </c>
      <c r="B1158" s="8" t="n">
        <v>199482.33</v>
      </c>
      <c r="C1158" s="8" t="n">
        <v>196067.83</v>
      </c>
      <c r="D1158" s="27" t="n">
        <v>6.78</v>
      </c>
      <c r="E1158" s="10" t="n">
        <v>708</v>
      </c>
      <c r="F1158" s="12" t="n">
        <v>90.3</v>
      </c>
      <c r="G1158" s="12" t="n">
        <v>37.1</v>
      </c>
      <c r="H1158" s="10" t="n">
        <v>19</v>
      </c>
      <c r="I1158" s="10" t="n">
        <v>341</v>
      </c>
      <c r="J1158" s="7" t="inlineStr">
        <is>
          <t>CA</t>
        </is>
      </c>
      <c r="K1158" s="7" t="inlineStr">
        <is>
          <t>SFR</t>
        </is>
      </c>
      <c r="L1158" s="7" t="inlineStr">
        <is>
          <t>Highline Capital</t>
        </is>
      </c>
      <c r="M1158" s="7" t="inlineStr">
        <is>
          <t>Pier Asset Mgmt</t>
        </is>
      </c>
    </row>
    <row r="1159">
      <c r="A1159" s="5" t="inlineStr">
        <is>
          <t>L101154</t>
        </is>
      </c>
      <c r="B1159" s="16" t="n">
        <v>309971.58</v>
      </c>
      <c r="C1159" s="16" t="n">
        <v>304122.11</v>
      </c>
      <c r="D1159" s="26" t="n">
        <v>6.824</v>
      </c>
      <c r="E1159" s="6" t="n">
        <v>682</v>
      </c>
      <c r="F1159" s="11" t="n">
        <v>81.90000000000001</v>
      </c>
      <c r="G1159" s="11" t="n">
        <v>50.4</v>
      </c>
      <c r="H1159" s="6" t="n">
        <v>21</v>
      </c>
      <c r="I1159" s="6" t="n">
        <v>339</v>
      </c>
      <c r="J1159" s="5" t="inlineStr">
        <is>
          <t>AZ</t>
        </is>
      </c>
      <c r="K1159" s="5" t="inlineStr">
        <is>
          <t>SFR</t>
        </is>
      </c>
      <c r="L1159" s="5" t="inlineStr">
        <is>
          <t>Meridian Home Loans</t>
        </is>
      </c>
      <c r="M1159" s="5" t="inlineStr">
        <is>
          <t>Northgate Servicing</t>
        </is>
      </c>
    </row>
    <row r="1160">
      <c r="A1160" s="7" t="inlineStr">
        <is>
          <t>L101155</t>
        </is>
      </c>
      <c r="B1160" s="8" t="n">
        <v>252385.91</v>
      </c>
      <c r="C1160" s="8" t="n">
        <v>245608.83</v>
      </c>
      <c r="D1160" s="27" t="n">
        <v>6.581</v>
      </c>
      <c r="E1160" s="10" t="n">
        <v>672</v>
      </c>
      <c r="F1160" s="12" t="n">
        <v>63.5</v>
      </c>
      <c r="G1160" s="12" t="n">
        <v>42.8</v>
      </c>
      <c r="H1160" s="10" t="n">
        <v>28</v>
      </c>
      <c r="I1160" s="10" t="n">
        <v>332</v>
      </c>
      <c r="J1160" s="7" t="inlineStr">
        <is>
          <t>AZ</t>
        </is>
      </c>
      <c r="K1160" s="7" t="inlineStr">
        <is>
          <t>SFR</t>
        </is>
      </c>
      <c r="L1160" s="7" t="inlineStr">
        <is>
          <t>Highline Capital</t>
        </is>
      </c>
      <c r="M1160" s="7" t="inlineStr">
        <is>
          <t>Pier Asset Mgmt</t>
        </is>
      </c>
    </row>
    <row r="1161">
      <c r="A1161" s="5" t="inlineStr">
        <is>
          <t>L101156</t>
        </is>
      </c>
      <c r="B1161" s="16" t="n">
        <v>242915.51</v>
      </c>
      <c r="C1161" s="16" t="n">
        <v>234477.73</v>
      </c>
      <c r="D1161" s="26" t="n">
        <v>6.5</v>
      </c>
      <c r="E1161" s="6" t="n">
        <v>820</v>
      </c>
      <c r="F1161" s="11" t="n">
        <v>66.2</v>
      </c>
      <c r="G1161" s="11" t="n">
        <v>37.7</v>
      </c>
      <c r="H1161" s="6" t="n">
        <v>35</v>
      </c>
      <c r="I1161" s="6" t="n">
        <v>325</v>
      </c>
      <c r="J1161" s="5" t="inlineStr">
        <is>
          <t>WA</t>
        </is>
      </c>
      <c r="K1161" s="5" t="inlineStr">
        <is>
          <t>SFR</t>
        </is>
      </c>
      <c r="L1161" s="5" t="inlineStr">
        <is>
          <t>Highline Capital</t>
        </is>
      </c>
      <c r="M1161" s="5" t="inlineStr">
        <is>
          <t>Northgate Servicing</t>
        </is>
      </c>
    </row>
    <row r="1162">
      <c r="A1162" s="7" t="inlineStr">
        <is>
          <t>L101157</t>
        </is>
      </c>
      <c r="B1162" s="8" t="n">
        <v>406579.09</v>
      </c>
      <c r="C1162" s="8" t="n">
        <v>402214.6</v>
      </c>
      <c r="D1162" s="27" t="n">
        <v>7.911</v>
      </c>
      <c r="E1162" s="10" t="n">
        <v>701</v>
      </c>
      <c r="F1162" s="12" t="n">
        <v>79.90000000000001</v>
      </c>
      <c r="G1162" s="12" t="n">
        <v>38</v>
      </c>
      <c r="H1162" s="10" t="n">
        <v>15</v>
      </c>
      <c r="I1162" s="10" t="n">
        <v>345</v>
      </c>
      <c r="J1162" s="7" t="inlineStr">
        <is>
          <t>NC</t>
        </is>
      </c>
      <c r="K1162" s="7" t="inlineStr">
        <is>
          <t>SFR</t>
        </is>
      </c>
      <c r="L1162" s="7" t="inlineStr">
        <is>
          <t>Highline Capital</t>
        </is>
      </c>
      <c r="M1162" s="7" t="inlineStr">
        <is>
          <t>Northgate Servicing</t>
        </is>
      </c>
    </row>
    <row r="1163">
      <c r="A1163" s="5" t="inlineStr">
        <is>
          <t>L101158</t>
        </is>
      </c>
      <c r="B1163" s="16" t="n">
        <v>102970.18</v>
      </c>
      <c r="C1163" s="16" t="n">
        <v>102758.22</v>
      </c>
      <c r="D1163" s="26" t="n">
        <v>5.838</v>
      </c>
      <c r="E1163" s="6" t="n">
        <v>635</v>
      </c>
      <c r="F1163" s="11" t="n">
        <v>66.5</v>
      </c>
      <c r="G1163" s="11" t="n">
        <v>37.1</v>
      </c>
      <c r="H1163" s="6" t="n">
        <v>2</v>
      </c>
      <c r="I1163" s="6" t="n">
        <v>358</v>
      </c>
      <c r="J1163" s="5" t="inlineStr">
        <is>
          <t>NY</t>
        </is>
      </c>
      <c r="K1163" s="5" t="inlineStr">
        <is>
          <t>2-4 Unit</t>
        </is>
      </c>
      <c r="L1163" s="5" t="inlineStr">
        <is>
          <t>Meridian Home Loans</t>
        </is>
      </c>
      <c r="M1163" s="5" t="inlineStr">
        <is>
          <t>Northgate Servicing</t>
        </is>
      </c>
    </row>
    <row r="1164">
      <c r="A1164" s="7" t="inlineStr">
        <is>
          <t>L101159</t>
        </is>
      </c>
      <c r="B1164" s="8" t="n">
        <v>147828.86</v>
      </c>
      <c r="C1164" s="8" t="n">
        <v>131039.82</v>
      </c>
      <c r="D1164" s="27" t="n">
        <v>7.553</v>
      </c>
      <c r="E1164" s="10" t="n">
        <v>677</v>
      </c>
      <c r="F1164" s="12" t="n">
        <v>48.6</v>
      </c>
      <c r="G1164" s="12" t="n">
        <v>26</v>
      </c>
      <c r="H1164" s="10" t="n">
        <v>34</v>
      </c>
      <c r="I1164" s="10" t="n">
        <v>146</v>
      </c>
      <c r="J1164" s="7" t="inlineStr">
        <is>
          <t>NC</t>
        </is>
      </c>
      <c r="K1164" s="7" t="inlineStr">
        <is>
          <t>SFR</t>
        </is>
      </c>
      <c r="L1164" s="7" t="inlineStr">
        <is>
          <t>Apex Funding</t>
        </is>
      </c>
      <c r="M1164" s="7" t="inlineStr">
        <is>
          <t>Northgate Servicing</t>
        </is>
      </c>
    </row>
    <row r="1165">
      <c r="A1165" s="5" t="inlineStr">
        <is>
          <t>L101160</t>
        </is>
      </c>
      <c r="B1165" s="16" t="n">
        <v>160255.6</v>
      </c>
      <c r="C1165" s="16" t="n">
        <v>140823.73</v>
      </c>
      <c r="D1165" s="26" t="n">
        <v>5.739</v>
      </c>
      <c r="E1165" s="6" t="n">
        <v>712</v>
      </c>
      <c r="F1165" s="11" t="n">
        <v>73.40000000000001</v>
      </c>
      <c r="G1165" s="11" t="n">
        <v>35.3</v>
      </c>
      <c r="H1165" s="6" t="n">
        <v>32</v>
      </c>
      <c r="I1165" s="6" t="n">
        <v>148</v>
      </c>
      <c r="J1165" s="5" t="inlineStr">
        <is>
          <t>AZ</t>
        </is>
      </c>
      <c r="K1165" s="5" t="inlineStr">
        <is>
          <t>SFR</t>
        </is>
      </c>
      <c r="L1165" s="5" t="inlineStr">
        <is>
          <t>Coastal Mortgage Co</t>
        </is>
      </c>
      <c r="M1165" s="5" t="inlineStr">
        <is>
          <t>Northgate Servicing</t>
        </is>
      </c>
    </row>
    <row r="1166">
      <c r="A1166" s="7" t="inlineStr">
        <is>
          <t>L101161</t>
        </is>
      </c>
      <c r="B1166" s="8" t="n">
        <v>213813.36</v>
      </c>
      <c r="C1166" s="8" t="n">
        <v>212993.57</v>
      </c>
      <c r="D1166" s="27" t="n">
        <v>7.398</v>
      </c>
      <c r="E1166" s="10" t="n">
        <v>745</v>
      </c>
      <c r="F1166" s="12" t="n">
        <v>56.2</v>
      </c>
      <c r="G1166" s="12" t="n">
        <v>37.8</v>
      </c>
      <c r="H1166" s="10" t="n">
        <v>5</v>
      </c>
      <c r="I1166" s="10" t="n">
        <v>355</v>
      </c>
      <c r="J1166" s="7" t="inlineStr">
        <is>
          <t>GA</t>
        </is>
      </c>
      <c r="K1166" s="7" t="inlineStr">
        <is>
          <t>Multifamily</t>
        </is>
      </c>
      <c r="L1166" s="7" t="inlineStr">
        <is>
          <t>Highline Capital</t>
        </is>
      </c>
      <c r="M1166" s="7" t="inlineStr">
        <is>
          <t>Pier Asset Mgmt</t>
        </is>
      </c>
    </row>
    <row r="1167">
      <c r="A1167" s="5" t="inlineStr">
        <is>
          <t>L101162</t>
        </is>
      </c>
      <c r="B1167" s="16" t="n">
        <v>222100.92</v>
      </c>
      <c r="C1167" s="16" t="n">
        <v>216690.74</v>
      </c>
      <c r="D1167" s="26" t="n">
        <v>7.51</v>
      </c>
      <c r="E1167" s="6" t="n">
        <v>746</v>
      </c>
      <c r="F1167" s="11" t="n">
        <v>93.40000000000001</v>
      </c>
      <c r="G1167" s="11" t="n">
        <v>32.7</v>
      </c>
      <c r="H1167" s="6" t="n">
        <v>30</v>
      </c>
      <c r="I1167" s="6" t="n">
        <v>330</v>
      </c>
      <c r="J1167" s="5" t="inlineStr">
        <is>
          <t>AZ</t>
        </is>
      </c>
      <c r="K1167" s="5" t="inlineStr">
        <is>
          <t>2-4 Unit</t>
        </is>
      </c>
      <c r="L1167" s="5" t="inlineStr">
        <is>
          <t>Apex Funding</t>
        </is>
      </c>
      <c r="M1167" s="5" t="inlineStr">
        <is>
          <t>Pier Asset Mgmt</t>
        </is>
      </c>
    </row>
    <row r="1168">
      <c r="A1168" s="7" t="inlineStr">
        <is>
          <t>L101163</t>
        </is>
      </c>
      <c r="B1168" s="8" t="n">
        <v>143262.81</v>
      </c>
      <c r="C1168" s="8" t="n">
        <v>142702.73</v>
      </c>
      <c r="D1168" s="27" t="n">
        <v>6.136</v>
      </c>
      <c r="E1168" s="10" t="n">
        <v>752</v>
      </c>
      <c r="F1168" s="12" t="n">
        <v>76.09999999999999</v>
      </c>
      <c r="G1168" s="12" t="n">
        <v>38.7</v>
      </c>
      <c r="H1168" s="10" t="n">
        <v>4</v>
      </c>
      <c r="I1168" s="10" t="n">
        <v>356</v>
      </c>
      <c r="J1168" s="7" t="inlineStr">
        <is>
          <t>WA</t>
        </is>
      </c>
      <c r="K1168" s="7" t="inlineStr">
        <is>
          <t>SFR</t>
        </is>
      </c>
      <c r="L1168" s="7" t="inlineStr">
        <is>
          <t>Apex Funding</t>
        </is>
      </c>
      <c r="M1168" s="7" t="inlineStr">
        <is>
          <t>Northgate Servicing</t>
        </is>
      </c>
    </row>
    <row r="1169">
      <c r="A1169" s="5" t="inlineStr">
        <is>
          <t>L101164</t>
        </is>
      </c>
      <c r="B1169" s="16" t="n">
        <v>171990.53</v>
      </c>
      <c r="C1169" s="16" t="n">
        <v>154801.78</v>
      </c>
      <c r="D1169" s="26" t="n">
        <v>7.895</v>
      </c>
      <c r="E1169" s="6" t="n">
        <v>680</v>
      </c>
      <c r="F1169" s="11" t="n">
        <v>63.1</v>
      </c>
      <c r="G1169" s="11" t="n">
        <v>36.2</v>
      </c>
      <c r="H1169" s="6" t="n">
        <v>31</v>
      </c>
      <c r="I1169" s="6" t="n">
        <v>149</v>
      </c>
      <c r="J1169" s="5" t="inlineStr">
        <is>
          <t>AZ</t>
        </is>
      </c>
      <c r="K1169" s="5" t="inlineStr">
        <is>
          <t>Multifamily</t>
        </is>
      </c>
      <c r="L1169" s="5" t="inlineStr">
        <is>
          <t>Meridian Home Loans</t>
        </is>
      </c>
      <c r="M1169" s="5" t="inlineStr">
        <is>
          <t>Summit Loan Servicing</t>
        </is>
      </c>
    </row>
    <row r="1170">
      <c r="A1170" s="7" t="inlineStr">
        <is>
          <t>L101165</t>
        </is>
      </c>
      <c r="B1170" s="8" t="n">
        <v>179639.15</v>
      </c>
      <c r="C1170" s="8" t="n">
        <v>173752.11</v>
      </c>
      <c r="D1170" s="27" t="n">
        <v>6.822</v>
      </c>
      <c r="E1170" s="10" t="n">
        <v>734</v>
      </c>
      <c r="F1170" s="12" t="n">
        <v>65.59999999999999</v>
      </c>
      <c r="G1170" s="12" t="n">
        <v>42.2</v>
      </c>
      <c r="H1170" s="10" t="n">
        <v>35</v>
      </c>
      <c r="I1170" s="10" t="n">
        <v>325</v>
      </c>
      <c r="J1170" s="7" t="inlineStr">
        <is>
          <t>GA</t>
        </is>
      </c>
      <c r="K1170" s="7" t="inlineStr">
        <is>
          <t>SFR</t>
        </is>
      </c>
      <c r="L1170" s="7" t="inlineStr">
        <is>
          <t>Highline Capital</t>
        </is>
      </c>
      <c r="M1170" s="7" t="inlineStr">
        <is>
          <t>Northgate Servicing</t>
        </is>
      </c>
    </row>
    <row r="1171">
      <c r="A1171" s="5" t="inlineStr">
        <is>
          <t>L101166</t>
        </is>
      </c>
      <c r="B1171" s="16" t="n">
        <v>573835.72</v>
      </c>
      <c r="C1171" s="16" t="n">
        <v>573220.51</v>
      </c>
      <c r="D1171" s="26" t="n">
        <v>5.61</v>
      </c>
      <c r="E1171" s="6" t="n">
        <v>667</v>
      </c>
      <c r="F1171" s="11" t="n">
        <v>51.3</v>
      </c>
      <c r="G1171" s="11" t="n">
        <v>41.3</v>
      </c>
      <c r="H1171" s="6" t="n">
        <v>1</v>
      </c>
      <c r="I1171" s="6" t="n">
        <v>359</v>
      </c>
      <c r="J1171" s="5" t="inlineStr">
        <is>
          <t>IL</t>
        </is>
      </c>
      <c r="K1171" s="5" t="inlineStr">
        <is>
          <t>SFR</t>
        </is>
      </c>
      <c r="L1171" s="5" t="inlineStr">
        <is>
          <t>Coastal Mortgage Co</t>
        </is>
      </c>
      <c r="M1171" s="5" t="inlineStr">
        <is>
          <t>Summit Loan Servicing</t>
        </is>
      </c>
    </row>
    <row r="1172">
      <c r="A1172" s="7" t="inlineStr">
        <is>
          <t>L101167</t>
        </is>
      </c>
      <c r="B1172" s="8" t="n">
        <v>456164.92</v>
      </c>
      <c r="C1172" s="8" t="n">
        <v>439034.58</v>
      </c>
      <c r="D1172" s="27" t="n">
        <v>6.063</v>
      </c>
      <c r="E1172" s="10" t="n">
        <v>681</v>
      </c>
      <c r="F1172" s="12" t="n">
        <v>60.8</v>
      </c>
      <c r="G1172" s="12" t="n">
        <v>37.3</v>
      </c>
      <c r="H1172" s="10" t="n">
        <v>35</v>
      </c>
      <c r="I1172" s="10" t="n">
        <v>325</v>
      </c>
      <c r="J1172" s="7" t="inlineStr">
        <is>
          <t>OH</t>
        </is>
      </c>
      <c r="K1172" s="7" t="inlineStr">
        <is>
          <t>SFR</t>
        </is>
      </c>
      <c r="L1172" s="7" t="inlineStr">
        <is>
          <t>Meridian Home Loans</t>
        </is>
      </c>
      <c r="M1172" s="7" t="inlineStr">
        <is>
          <t>Summit Loan Servicing</t>
        </is>
      </c>
    </row>
    <row r="1173">
      <c r="A1173" s="5" t="inlineStr">
        <is>
          <t>L101168</t>
        </is>
      </c>
      <c r="B1173" s="16" t="n">
        <v>210215.34</v>
      </c>
      <c r="C1173" s="16" t="n">
        <v>209249.16</v>
      </c>
      <c r="D1173" s="26" t="n">
        <v>7.419</v>
      </c>
      <c r="E1173" s="6" t="n">
        <v>665</v>
      </c>
      <c r="F1173" s="11" t="n">
        <v>86.2</v>
      </c>
      <c r="G1173" s="11" t="n">
        <v>25.1</v>
      </c>
      <c r="H1173" s="6" t="n">
        <v>6</v>
      </c>
      <c r="I1173" s="6" t="n">
        <v>354</v>
      </c>
      <c r="J1173" s="5" t="inlineStr">
        <is>
          <t>OH</t>
        </is>
      </c>
      <c r="K1173" s="5" t="inlineStr">
        <is>
          <t>SFR</t>
        </is>
      </c>
      <c r="L1173" s="5" t="inlineStr">
        <is>
          <t>Highline Capital</t>
        </is>
      </c>
      <c r="M1173" s="5" t="inlineStr">
        <is>
          <t>Pier Asset Mgmt</t>
        </is>
      </c>
    </row>
    <row r="1174">
      <c r="A1174" s="7" t="inlineStr">
        <is>
          <t>L101169</t>
        </is>
      </c>
      <c r="B1174" s="8" t="n">
        <v>213789.22</v>
      </c>
      <c r="C1174" s="8" t="n">
        <v>211532.48</v>
      </c>
      <c r="D1174" s="27" t="n">
        <v>7.231</v>
      </c>
      <c r="E1174" s="10" t="n">
        <v>650</v>
      </c>
      <c r="F1174" s="12" t="n">
        <v>97</v>
      </c>
      <c r="G1174" s="12" t="n">
        <v>50.3</v>
      </c>
      <c r="H1174" s="10" t="n">
        <v>13</v>
      </c>
      <c r="I1174" s="10" t="n">
        <v>347</v>
      </c>
      <c r="J1174" s="7" t="inlineStr">
        <is>
          <t>FL</t>
        </is>
      </c>
      <c r="K1174" s="7" t="inlineStr">
        <is>
          <t>Condo</t>
        </is>
      </c>
      <c r="L1174" s="7" t="inlineStr">
        <is>
          <t>Highline Capital</t>
        </is>
      </c>
      <c r="M1174" s="7" t="inlineStr">
        <is>
          <t>Northgate Servicing</t>
        </is>
      </c>
    </row>
    <row r="1175">
      <c r="A1175" s="5" t="inlineStr">
        <is>
          <t>L101170</t>
        </is>
      </c>
      <c r="B1175" s="16" t="n">
        <v>162393.65</v>
      </c>
      <c r="C1175" s="16" t="n">
        <v>155810.72</v>
      </c>
      <c r="D1175" s="26" t="n">
        <v>5.448</v>
      </c>
      <c r="E1175" s="6" t="n">
        <v>774</v>
      </c>
      <c r="F1175" s="11" t="n">
        <v>82.7</v>
      </c>
      <c r="G1175" s="11" t="n">
        <v>34.9</v>
      </c>
      <c r="H1175" s="6" t="n">
        <v>34</v>
      </c>
      <c r="I1175" s="6" t="n">
        <v>326</v>
      </c>
      <c r="J1175" s="5" t="inlineStr">
        <is>
          <t>CA</t>
        </is>
      </c>
      <c r="K1175" s="5" t="inlineStr">
        <is>
          <t>SFR</t>
        </is>
      </c>
      <c r="L1175" s="5" t="inlineStr">
        <is>
          <t>Coastal Mortgage Co</t>
        </is>
      </c>
      <c r="M1175" s="5" t="inlineStr">
        <is>
          <t>Pier Asset Mgmt</t>
        </is>
      </c>
    </row>
    <row r="1176">
      <c r="A1176" s="7" t="inlineStr">
        <is>
          <t>L101171</t>
        </is>
      </c>
      <c r="B1176" s="8" t="n">
        <v>124511.62</v>
      </c>
      <c r="C1176" s="8" t="n">
        <v>122427.04</v>
      </c>
      <c r="D1176" s="27" t="n">
        <v>6.275</v>
      </c>
      <c r="E1176" s="10" t="n">
        <v>753</v>
      </c>
      <c r="F1176" s="12" t="n">
        <v>72.90000000000001</v>
      </c>
      <c r="G1176" s="12" t="n">
        <v>35.4</v>
      </c>
      <c r="H1176" s="10" t="n">
        <v>17</v>
      </c>
      <c r="I1176" s="10" t="n">
        <v>343</v>
      </c>
      <c r="J1176" s="7" t="inlineStr">
        <is>
          <t>OH</t>
        </is>
      </c>
      <c r="K1176" s="7" t="inlineStr">
        <is>
          <t>2-4 Unit</t>
        </is>
      </c>
      <c r="L1176" s="7" t="inlineStr">
        <is>
          <t>Apex Funding</t>
        </is>
      </c>
      <c r="M1176" s="7" t="inlineStr">
        <is>
          <t>Northgate Servicing</t>
        </is>
      </c>
    </row>
    <row r="1177">
      <c r="A1177" s="5" t="inlineStr">
        <is>
          <t>L101172</t>
        </is>
      </c>
      <c r="B1177" s="16" t="n">
        <v>233069.49</v>
      </c>
      <c r="C1177" s="16" t="n">
        <v>222254.95</v>
      </c>
      <c r="D1177" s="26" t="n">
        <v>6.583</v>
      </c>
      <c r="E1177" s="6" t="n">
        <v>769</v>
      </c>
      <c r="F1177" s="11" t="n">
        <v>68.8</v>
      </c>
      <c r="G1177" s="11" t="n">
        <v>33.3</v>
      </c>
      <c r="H1177" s="6" t="n">
        <v>46</v>
      </c>
      <c r="I1177" s="6" t="n">
        <v>314</v>
      </c>
      <c r="J1177" s="5" t="inlineStr">
        <is>
          <t>FL</t>
        </is>
      </c>
      <c r="K1177" s="5" t="inlineStr">
        <is>
          <t>SFR</t>
        </is>
      </c>
      <c r="L1177" s="5" t="inlineStr">
        <is>
          <t>Apex Funding</t>
        </is>
      </c>
      <c r="M1177" s="5" t="inlineStr">
        <is>
          <t>Northgate Servicing</t>
        </is>
      </c>
    </row>
    <row r="1178">
      <c r="A1178" s="7" t="inlineStr">
        <is>
          <t>L101173</t>
        </is>
      </c>
      <c r="B1178" s="8" t="n">
        <v>171228.09</v>
      </c>
      <c r="C1178" s="8" t="n">
        <v>162565.32</v>
      </c>
      <c r="D1178" s="27" t="n">
        <v>5.943</v>
      </c>
      <c r="E1178" s="10" t="n">
        <v>717</v>
      </c>
      <c r="F1178" s="12" t="n">
        <v>62.5</v>
      </c>
      <c r="G1178" s="12" t="n">
        <v>32.1</v>
      </c>
      <c r="H1178" s="10" t="n">
        <v>45</v>
      </c>
      <c r="I1178" s="10" t="n">
        <v>315</v>
      </c>
      <c r="J1178" s="7" t="inlineStr">
        <is>
          <t>WA</t>
        </is>
      </c>
      <c r="K1178" s="7" t="inlineStr">
        <is>
          <t>SFR</t>
        </is>
      </c>
      <c r="L1178" s="7" t="inlineStr">
        <is>
          <t>Coastal Mortgage Co</t>
        </is>
      </c>
      <c r="M1178" s="7" t="inlineStr">
        <is>
          <t>Northgate Servicing</t>
        </is>
      </c>
    </row>
    <row r="1179">
      <c r="A1179" s="5" t="inlineStr">
        <is>
          <t>L101174</t>
        </is>
      </c>
      <c r="B1179" s="16" t="n">
        <v>235696.99</v>
      </c>
      <c r="C1179" s="16" t="n">
        <v>227799.28</v>
      </c>
      <c r="D1179" s="26" t="n">
        <v>8.522</v>
      </c>
      <c r="E1179" s="6" t="n">
        <v>758</v>
      </c>
      <c r="F1179" s="11" t="n">
        <v>97</v>
      </c>
      <c r="G1179" s="11" t="n">
        <v>48.4</v>
      </c>
      <c r="H1179" s="6" t="n">
        <v>47</v>
      </c>
      <c r="I1179" s="6" t="n">
        <v>313</v>
      </c>
      <c r="J1179" s="5" t="inlineStr">
        <is>
          <t>CA</t>
        </is>
      </c>
      <c r="K1179" s="5" t="inlineStr">
        <is>
          <t>SFR</t>
        </is>
      </c>
      <c r="L1179" s="5" t="inlineStr">
        <is>
          <t>Apex Funding</t>
        </is>
      </c>
      <c r="M1179" s="5" t="inlineStr">
        <is>
          <t>Pier Asset Mgmt</t>
        </is>
      </c>
    </row>
    <row r="1180">
      <c r="A1180" s="7" t="inlineStr">
        <is>
          <t>L101175</t>
        </is>
      </c>
      <c r="B1180" s="8" t="n">
        <v>138680.49</v>
      </c>
      <c r="C1180" s="8" t="n">
        <v>138060.13</v>
      </c>
      <c r="D1180" s="27" t="n">
        <v>6.61</v>
      </c>
      <c r="E1180" s="10" t="n">
        <v>618</v>
      </c>
      <c r="F1180" s="12" t="n">
        <v>71.7</v>
      </c>
      <c r="G1180" s="12" t="n">
        <v>47.1</v>
      </c>
      <c r="H1180" s="10" t="n">
        <v>5</v>
      </c>
      <c r="I1180" s="10" t="n">
        <v>355</v>
      </c>
      <c r="J1180" s="7" t="inlineStr">
        <is>
          <t>WA</t>
        </is>
      </c>
      <c r="K1180" s="7" t="inlineStr">
        <is>
          <t>SFR</t>
        </is>
      </c>
      <c r="L1180" s="7" t="inlineStr">
        <is>
          <t>Highline Capital</t>
        </is>
      </c>
      <c r="M1180" s="7" t="inlineStr">
        <is>
          <t>Summit Loan Servicing</t>
        </is>
      </c>
    </row>
    <row r="1181">
      <c r="A1181" s="5" t="inlineStr">
        <is>
          <t>L101176</t>
        </is>
      </c>
      <c r="B1181" s="16" t="n">
        <v>185964.1</v>
      </c>
      <c r="C1181" s="16" t="n">
        <v>184371.23</v>
      </c>
      <c r="D1181" s="26" t="n">
        <v>6.344</v>
      </c>
      <c r="E1181" s="6" t="n">
        <v>762</v>
      </c>
      <c r="F1181" s="11" t="n">
        <v>97</v>
      </c>
      <c r="G1181" s="11" t="n">
        <v>39.6</v>
      </c>
      <c r="H1181" s="6" t="n">
        <v>9</v>
      </c>
      <c r="I1181" s="6" t="n">
        <v>351</v>
      </c>
      <c r="J1181" s="5" t="inlineStr">
        <is>
          <t>NC</t>
        </is>
      </c>
      <c r="K1181" s="5" t="inlineStr">
        <is>
          <t>Multifamily</t>
        </is>
      </c>
      <c r="L1181" s="5" t="inlineStr">
        <is>
          <t>Highline Capital</t>
        </is>
      </c>
      <c r="M1181" s="5" t="inlineStr">
        <is>
          <t>Northgate Servicing</t>
        </is>
      </c>
    </row>
    <row r="1182">
      <c r="A1182" s="7" t="inlineStr">
        <is>
          <t>L101177</t>
        </is>
      </c>
      <c r="B1182" s="8" t="n">
        <v>255766.32</v>
      </c>
      <c r="C1182" s="8" t="n">
        <v>254004.96</v>
      </c>
      <c r="D1182" s="27" t="n">
        <v>7.472</v>
      </c>
      <c r="E1182" s="10" t="n">
        <v>725</v>
      </c>
      <c r="F1182" s="12" t="n">
        <v>90.7</v>
      </c>
      <c r="G1182" s="12" t="n">
        <v>35.1</v>
      </c>
      <c r="H1182" s="10" t="n">
        <v>9</v>
      </c>
      <c r="I1182" s="10" t="n">
        <v>351</v>
      </c>
      <c r="J1182" s="7" t="inlineStr">
        <is>
          <t>NY</t>
        </is>
      </c>
      <c r="K1182" s="7" t="inlineStr">
        <is>
          <t>Condo</t>
        </is>
      </c>
      <c r="L1182" s="7" t="inlineStr">
        <is>
          <t>Apex Funding</t>
        </is>
      </c>
      <c r="M1182" s="7" t="inlineStr">
        <is>
          <t>Northgate Servicing</t>
        </is>
      </c>
    </row>
    <row r="1183">
      <c r="A1183" s="5" t="inlineStr">
        <is>
          <t>L101178</t>
        </is>
      </c>
      <c r="B1183" s="16" t="n">
        <v>276004.75</v>
      </c>
      <c r="C1183" s="16" t="n">
        <v>267873.43</v>
      </c>
      <c r="D1183" s="26" t="n">
        <v>6.071</v>
      </c>
      <c r="E1183" s="6" t="n">
        <v>749</v>
      </c>
      <c r="F1183" s="11" t="n">
        <v>53.1</v>
      </c>
      <c r="G1183" s="11" t="n">
        <v>41</v>
      </c>
      <c r="H1183" s="6" t="n">
        <v>28</v>
      </c>
      <c r="I1183" s="6" t="n">
        <v>332</v>
      </c>
      <c r="J1183" s="5" t="inlineStr">
        <is>
          <t>CA</t>
        </is>
      </c>
      <c r="K1183" s="5" t="inlineStr">
        <is>
          <t>Condo</t>
        </is>
      </c>
      <c r="L1183" s="5" t="inlineStr">
        <is>
          <t>Coastal Mortgage Co</t>
        </is>
      </c>
      <c r="M1183" s="5" t="inlineStr">
        <is>
          <t>Northgate Servicing</t>
        </is>
      </c>
    </row>
    <row r="1184">
      <c r="A1184" s="7" t="inlineStr">
        <is>
          <t>L101179</t>
        </is>
      </c>
      <c r="B1184" s="8" t="n">
        <v>281001.47</v>
      </c>
      <c r="C1184" s="8" t="n">
        <v>276161.87</v>
      </c>
      <c r="D1184" s="27" t="n">
        <v>7.307</v>
      </c>
      <c r="E1184" s="10" t="n">
        <v>736</v>
      </c>
      <c r="F1184" s="12" t="n">
        <v>66</v>
      </c>
      <c r="G1184" s="12" t="n">
        <v>36.6</v>
      </c>
      <c r="H1184" s="10" t="n">
        <v>21</v>
      </c>
      <c r="I1184" s="10" t="n">
        <v>339</v>
      </c>
      <c r="J1184" s="7" t="inlineStr">
        <is>
          <t>OH</t>
        </is>
      </c>
      <c r="K1184" s="7" t="inlineStr">
        <is>
          <t>Condo</t>
        </is>
      </c>
      <c r="L1184" s="7" t="inlineStr">
        <is>
          <t>Highline Capital</t>
        </is>
      </c>
      <c r="M1184" s="7" t="inlineStr">
        <is>
          <t>Pier Asset Mgmt</t>
        </is>
      </c>
    </row>
    <row r="1185">
      <c r="A1185" s="5" t="inlineStr">
        <is>
          <t>L101180</t>
        </is>
      </c>
      <c r="B1185" s="16" t="n">
        <v>152944.27</v>
      </c>
      <c r="C1185" s="16" t="n">
        <v>145699.45</v>
      </c>
      <c r="D1185" s="26" t="n">
        <v>4.899</v>
      </c>
      <c r="E1185" s="6" t="n">
        <v>661</v>
      </c>
      <c r="F1185" s="11" t="n">
        <v>66</v>
      </c>
      <c r="G1185" s="11" t="n">
        <v>34.5</v>
      </c>
      <c r="H1185" s="6" t="n">
        <v>36</v>
      </c>
      <c r="I1185" s="6" t="n">
        <v>324</v>
      </c>
      <c r="J1185" s="5" t="inlineStr">
        <is>
          <t>TX</t>
        </is>
      </c>
      <c r="K1185" s="5" t="inlineStr">
        <is>
          <t>SFR</t>
        </is>
      </c>
      <c r="L1185" s="5" t="inlineStr">
        <is>
          <t>Highline Capital</t>
        </is>
      </c>
      <c r="M1185" s="5" t="inlineStr">
        <is>
          <t>Summit Loan Servicing</t>
        </is>
      </c>
    </row>
    <row r="1186">
      <c r="A1186" s="7" t="inlineStr">
        <is>
          <t>L101181</t>
        </is>
      </c>
      <c r="B1186" s="8" t="n">
        <v>327466.16</v>
      </c>
      <c r="C1186" s="8" t="n">
        <v>322743.89</v>
      </c>
      <c r="D1186" s="27" t="n">
        <v>5.992</v>
      </c>
      <c r="E1186" s="10" t="n">
        <v>633</v>
      </c>
      <c r="F1186" s="12" t="n">
        <v>73</v>
      </c>
      <c r="G1186" s="12" t="n">
        <v>38.7</v>
      </c>
      <c r="H1186" s="10" t="n">
        <v>14</v>
      </c>
      <c r="I1186" s="10" t="n">
        <v>346</v>
      </c>
      <c r="J1186" s="7" t="inlineStr">
        <is>
          <t>CA</t>
        </is>
      </c>
      <c r="K1186" s="7" t="inlineStr">
        <is>
          <t>SFR</t>
        </is>
      </c>
      <c r="L1186" s="7" t="inlineStr">
        <is>
          <t>Meridian Home Loans</t>
        </is>
      </c>
      <c r="M1186" s="7" t="inlineStr">
        <is>
          <t>Northgate Servicing</t>
        </is>
      </c>
    </row>
    <row r="1187">
      <c r="A1187" s="5" t="inlineStr">
        <is>
          <t>L101182</t>
        </is>
      </c>
      <c r="B1187" s="16" t="n">
        <v>183491.92</v>
      </c>
      <c r="C1187" s="16" t="n">
        <v>182047.71</v>
      </c>
      <c r="D1187" s="26" t="n">
        <v>7.344</v>
      </c>
      <c r="E1187" s="6" t="n">
        <v>676</v>
      </c>
      <c r="F1187" s="11" t="n">
        <v>73.3</v>
      </c>
      <c r="G1187" s="11" t="n">
        <v>32.5</v>
      </c>
      <c r="H1187" s="6" t="n">
        <v>10</v>
      </c>
      <c r="I1187" s="6" t="n">
        <v>350</v>
      </c>
      <c r="J1187" s="5" t="inlineStr">
        <is>
          <t>AZ</t>
        </is>
      </c>
      <c r="K1187" s="5" t="inlineStr">
        <is>
          <t>SFR</t>
        </is>
      </c>
      <c r="L1187" s="5" t="inlineStr">
        <is>
          <t>Coastal Mortgage Co</t>
        </is>
      </c>
      <c r="M1187" s="5" t="inlineStr">
        <is>
          <t>Northgate Servicing</t>
        </is>
      </c>
    </row>
    <row r="1188">
      <c r="A1188" s="7" t="inlineStr">
        <is>
          <t>L101183</t>
        </is>
      </c>
      <c r="B1188" s="8" t="n">
        <v>303003.69</v>
      </c>
      <c r="C1188" s="8" t="n">
        <v>272533.41</v>
      </c>
      <c r="D1188" s="27" t="n">
        <v>7.813</v>
      </c>
      <c r="E1188" s="10" t="n">
        <v>746</v>
      </c>
      <c r="F1188" s="12" t="n">
        <v>97</v>
      </c>
      <c r="G1188" s="12" t="n">
        <v>38</v>
      </c>
      <c r="H1188" s="10" t="n">
        <v>31</v>
      </c>
      <c r="I1188" s="10" t="n">
        <v>149</v>
      </c>
      <c r="J1188" s="7" t="inlineStr">
        <is>
          <t>NC</t>
        </is>
      </c>
      <c r="K1188" s="7" t="inlineStr">
        <is>
          <t>2-4 Unit</t>
        </is>
      </c>
      <c r="L1188" s="7" t="inlineStr">
        <is>
          <t>Apex Funding</t>
        </is>
      </c>
      <c r="M1188" s="7" t="inlineStr">
        <is>
          <t>Pier Asset Mgmt</t>
        </is>
      </c>
    </row>
    <row r="1189">
      <c r="A1189" s="5" t="inlineStr">
        <is>
          <t>L101184</t>
        </is>
      </c>
      <c r="B1189" s="16" t="n">
        <v>241899.22</v>
      </c>
      <c r="C1189" s="16" t="n">
        <v>233705.2</v>
      </c>
      <c r="D1189" s="26" t="n">
        <v>5.704</v>
      </c>
      <c r="E1189" s="6" t="n">
        <v>753</v>
      </c>
      <c r="F1189" s="11" t="n">
        <v>61.1</v>
      </c>
      <c r="G1189" s="11" t="n">
        <v>37.6</v>
      </c>
      <c r="H1189" s="6" t="n">
        <v>30</v>
      </c>
      <c r="I1189" s="6" t="n">
        <v>330</v>
      </c>
      <c r="J1189" s="5" t="inlineStr">
        <is>
          <t>TX</t>
        </is>
      </c>
      <c r="K1189" s="5" t="inlineStr">
        <is>
          <t>SFR</t>
        </is>
      </c>
      <c r="L1189" s="5" t="inlineStr">
        <is>
          <t>Apex Funding</t>
        </is>
      </c>
      <c r="M1189" s="5" t="inlineStr">
        <is>
          <t>Summit Loan Servicing</t>
        </is>
      </c>
    </row>
    <row r="1190">
      <c r="A1190" s="7" t="inlineStr">
        <is>
          <t>L101185</t>
        </is>
      </c>
      <c r="B1190" s="8" t="n">
        <v>149981.07</v>
      </c>
      <c r="C1190" s="8" t="n">
        <v>144247.05</v>
      </c>
      <c r="D1190" s="27" t="n">
        <v>5.599</v>
      </c>
      <c r="E1190" s="10" t="n">
        <v>640</v>
      </c>
      <c r="F1190" s="12" t="n">
        <v>76.7</v>
      </c>
      <c r="G1190" s="12" t="n">
        <v>40.8</v>
      </c>
      <c r="H1190" s="10" t="n">
        <v>33</v>
      </c>
      <c r="I1190" s="10" t="n">
        <v>327</v>
      </c>
      <c r="J1190" s="7" t="inlineStr">
        <is>
          <t>NY</t>
        </is>
      </c>
      <c r="K1190" s="7" t="inlineStr">
        <is>
          <t>SFR</t>
        </is>
      </c>
      <c r="L1190" s="7" t="inlineStr">
        <is>
          <t>Apex Funding</t>
        </is>
      </c>
      <c r="M1190" s="7" t="inlineStr">
        <is>
          <t>Summit Loan Servicing</t>
        </is>
      </c>
    </row>
    <row r="1191">
      <c r="A1191" s="5" t="inlineStr">
        <is>
          <t>L101186</t>
        </is>
      </c>
      <c r="B1191" s="16" t="n">
        <v>217364.47</v>
      </c>
      <c r="C1191" s="16" t="n">
        <v>214532.17</v>
      </c>
      <c r="D1191" s="26" t="n">
        <v>6.911</v>
      </c>
      <c r="E1191" s="6" t="n">
        <v>661</v>
      </c>
      <c r="F1191" s="11" t="n">
        <v>81.40000000000001</v>
      </c>
      <c r="G1191" s="11" t="n">
        <v>31</v>
      </c>
      <c r="H1191" s="6" t="n">
        <v>15</v>
      </c>
      <c r="I1191" s="6" t="n">
        <v>345</v>
      </c>
      <c r="J1191" s="5" t="inlineStr">
        <is>
          <t>NC</t>
        </is>
      </c>
      <c r="K1191" s="5" t="inlineStr">
        <is>
          <t>Condo</t>
        </is>
      </c>
      <c r="L1191" s="5" t="inlineStr">
        <is>
          <t>Apex Funding</t>
        </is>
      </c>
      <c r="M1191" s="5" t="inlineStr">
        <is>
          <t>Summit Loan Servicing</t>
        </is>
      </c>
    </row>
    <row r="1192">
      <c r="A1192" s="7" t="inlineStr">
        <is>
          <t>L101187</t>
        </is>
      </c>
      <c r="B1192" s="8" t="n">
        <v>275923.05</v>
      </c>
      <c r="C1192" s="8" t="n">
        <v>268412.47</v>
      </c>
      <c r="D1192" s="27" t="n">
        <v>5.839</v>
      </c>
      <c r="E1192" s="10" t="n">
        <v>675</v>
      </c>
      <c r="F1192" s="12" t="n">
        <v>74</v>
      </c>
      <c r="G1192" s="12" t="n">
        <v>41.7</v>
      </c>
      <c r="H1192" s="10" t="n">
        <v>25</v>
      </c>
      <c r="I1192" s="10" t="n">
        <v>335</v>
      </c>
      <c r="J1192" s="7" t="inlineStr">
        <is>
          <t>NC</t>
        </is>
      </c>
      <c r="K1192" s="7" t="inlineStr">
        <is>
          <t>SFR</t>
        </is>
      </c>
      <c r="L1192" s="7" t="inlineStr">
        <is>
          <t>Meridian Home Loans</t>
        </is>
      </c>
      <c r="M1192" s="7" t="inlineStr">
        <is>
          <t>Northgate Servicing</t>
        </is>
      </c>
    </row>
    <row r="1193">
      <c r="A1193" s="5" t="inlineStr">
        <is>
          <t>L101188</t>
        </is>
      </c>
      <c r="B1193" s="16" t="n">
        <v>300901.39</v>
      </c>
      <c r="C1193" s="16" t="n">
        <v>286596.9</v>
      </c>
      <c r="D1193" s="26" t="n">
        <v>6.158</v>
      </c>
      <c r="E1193" s="6" t="n">
        <v>695</v>
      </c>
      <c r="F1193" s="11" t="n">
        <v>75.3</v>
      </c>
      <c r="G1193" s="11" t="n">
        <v>28.7</v>
      </c>
      <c r="H1193" s="6" t="n">
        <v>44</v>
      </c>
      <c r="I1193" s="6" t="n">
        <v>316</v>
      </c>
      <c r="J1193" s="5" t="inlineStr">
        <is>
          <t>NY</t>
        </is>
      </c>
      <c r="K1193" s="5" t="inlineStr">
        <is>
          <t>SFR</t>
        </is>
      </c>
      <c r="L1193" s="5" t="inlineStr">
        <is>
          <t>Meridian Home Loans</t>
        </is>
      </c>
      <c r="M1193" s="5" t="inlineStr">
        <is>
          <t>Summit Loan Servicing</t>
        </is>
      </c>
    </row>
    <row r="1194">
      <c r="A1194" s="7" t="inlineStr">
        <is>
          <t>L101189</t>
        </is>
      </c>
      <c r="B1194" s="8" t="n">
        <v>231111.19</v>
      </c>
      <c r="C1194" s="8" t="n">
        <v>208468.85</v>
      </c>
      <c r="D1194" s="27" t="n">
        <v>7.189</v>
      </c>
      <c r="E1194" s="10" t="n">
        <v>640</v>
      </c>
      <c r="F1194" s="12" t="n">
        <v>61.5</v>
      </c>
      <c r="G1194" s="12" t="n">
        <v>31.4</v>
      </c>
      <c r="H1194" s="10" t="n">
        <v>29</v>
      </c>
      <c r="I1194" s="10" t="n">
        <v>151</v>
      </c>
      <c r="J1194" s="7" t="inlineStr">
        <is>
          <t>IL</t>
        </is>
      </c>
      <c r="K1194" s="7" t="inlineStr">
        <is>
          <t>SFR</t>
        </is>
      </c>
      <c r="L1194" s="7" t="inlineStr">
        <is>
          <t>Highline Capital</t>
        </is>
      </c>
      <c r="M1194" s="7" t="inlineStr">
        <is>
          <t>Northgate Servicing</t>
        </is>
      </c>
    </row>
    <row r="1195">
      <c r="A1195" s="5" t="inlineStr">
        <is>
          <t>L101190</t>
        </is>
      </c>
      <c r="B1195" s="16" t="n">
        <v>415036.86</v>
      </c>
      <c r="C1195" s="16" t="n">
        <v>394441.64</v>
      </c>
      <c r="D1195" s="26" t="n">
        <v>5.91</v>
      </c>
      <c r="E1195" s="6" t="n">
        <v>637</v>
      </c>
      <c r="F1195" s="11" t="n">
        <v>75.3</v>
      </c>
      <c r="G1195" s="11" t="n">
        <v>31.8</v>
      </c>
      <c r="H1195" s="6" t="n">
        <v>44</v>
      </c>
      <c r="I1195" s="6" t="n">
        <v>316</v>
      </c>
      <c r="J1195" s="5" t="inlineStr">
        <is>
          <t>CA</t>
        </is>
      </c>
      <c r="K1195" s="5" t="inlineStr">
        <is>
          <t>SFR</t>
        </is>
      </c>
      <c r="L1195" s="5" t="inlineStr">
        <is>
          <t>Apex Funding</t>
        </is>
      </c>
      <c r="M1195" s="5" t="inlineStr">
        <is>
          <t>Summit Loan Servicing</t>
        </is>
      </c>
    </row>
    <row r="1196">
      <c r="A1196" s="7" t="inlineStr">
        <is>
          <t>L101191</t>
        </is>
      </c>
      <c r="B1196" s="8" t="n">
        <v>345458.84</v>
      </c>
      <c r="C1196" s="8" t="n">
        <v>316364.32</v>
      </c>
      <c r="D1196" s="27" t="n">
        <v>4.631</v>
      </c>
      <c r="E1196" s="10" t="n">
        <v>670</v>
      </c>
      <c r="F1196" s="12" t="n">
        <v>80.09999999999999</v>
      </c>
      <c r="G1196" s="12" t="n">
        <v>27.4</v>
      </c>
      <c r="H1196" s="10" t="n">
        <v>21</v>
      </c>
      <c r="I1196" s="10" t="n">
        <v>159</v>
      </c>
      <c r="J1196" s="7" t="inlineStr">
        <is>
          <t>CA</t>
        </is>
      </c>
      <c r="K1196" s="7" t="inlineStr">
        <is>
          <t>SFR</t>
        </is>
      </c>
      <c r="L1196" s="7" t="inlineStr">
        <is>
          <t>Apex Funding</t>
        </is>
      </c>
      <c r="M1196" s="7" t="inlineStr">
        <is>
          <t>Northgate Servicing</t>
        </is>
      </c>
    </row>
    <row r="1197">
      <c r="A1197" s="5" t="inlineStr">
        <is>
          <t>L101192</t>
        </is>
      </c>
      <c r="B1197" s="16" t="n">
        <v>221941.93</v>
      </c>
      <c r="C1197" s="16" t="n">
        <v>221171.86</v>
      </c>
      <c r="D1197" s="26" t="n">
        <v>5.229</v>
      </c>
      <c r="E1197" s="6" t="n">
        <v>720</v>
      </c>
      <c r="F1197" s="11" t="n">
        <v>77.90000000000001</v>
      </c>
      <c r="G1197" s="11" t="n">
        <v>44.1</v>
      </c>
      <c r="H1197" s="6" t="n">
        <v>3</v>
      </c>
      <c r="I1197" s="6" t="n">
        <v>357</v>
      </c>
      <c r="J1197" s="5" t="inlineStr">
        <is>
          <t>WA</t>
        </is>
      </c>
      <c r="K1197" s="5" t="inlineStr">
        <is>
          <t>2-4 Unit</t>
        </is>
      </c>
      <c r="L1197" s="5" t="inlineStr">
        <is>
          <t>Coastal Mortgage Co</t>
        </is>
      </c>
      <c r="M1197" s="5" t="inlineStr">
        <is>
          <t>Northgate Servicing</t>
        </is>
      </c>
    </row>
    <row r="1198">
      <c r="A1198" s="7" t="inlineStr">
        <is>
          <t>L101193</t>
        </is>
      </c>
      <c r="B1198" s="8" t="n">
        <v>315698.41</v>
      </c>
      <c r="C1198" s="8" t="n">
        <v>304201.87</v>
      </c>
      <c r="D1198" s="27" t="n">
        <v>6.409</v>
      </c>
      <c r="E1198" s="10" t="n">
        <v>650</v>
      </c>
      <c r="F1198" s="12" t="n">
        <v>80.8</v>
      </c>
      <c r="G1198" s="12" t="n">
        <v>28.2</v>
      </c>
      <c r="H1198" s="10" t="n">
        <v>36</v>
      </c>
      <c r="I1198" s="10" t="n">
        <v>324</v>
      </c>
      <c r="J1198" s="7" t="inlineStr">
        <is>
          <t>FL</t>
        </is>
      </c>
      <c r="K1198" s="7" t="inlineStr">
        <is>
          <t>Condo</t>
        </is>
      </c>
      <c r="L1198" s="7" t="inlineStr">
        <is>
          <t>Coastal Mortgage Co</t>
        </is>
      </c>
      <c r="M1198" s="7" t="inlineStr">
        <is>
          <t>Pier Asset Mgmt</t>
        </is>
      </c>
    </row>
    <row r="1199">
      <c r="A1199" s="5" t="inlineStr">
        <is>
          <t>L101194</t>
        </is>
      </c>
      <c r="B1199" s="16" t="n">
        <v>477742.77</v>
      </c>
      <c r="C1199" s="16" t="n">
        <v>463889.85</v>
      </c>
      <c r="D1199" s="26" t="n">
        <v>4.723</v>
      </c>
      <c r="E1199" s="6" t="n">
        <v>709</v>
      </c>
      <c r="F1199" s="11" t="n">
        <v>91</v>
      </c>
      <c r="G1199" s="11" t="n">
        <v>30.4</v>
      </c>
      <c r="H1199" s="6" t="n">
        <v>22</v>
      </c>
      <c r="I1199" s="6" t="n">
        <v>338</v>
      </c>
      <c r="J1199" s="5" t="inlineStr">
        <is>
          <t>WA</t>
        </is>
      </c>
      <c r="K1199" s="5" t="inlineStr">
        <is>
          <t>SFR</t>
        </is>
      </c>
      <c r="L1199" s="5" t="inlineStr">
        <is>
          <t>Coastal Mortgage Co</t>
        </is>
      </c>
      <c r="M1199" s="5" t="inlineStr">
        <is>
          <t>Summit Loan Servicing</t>
        </is>
      </c>
    </row>
    <row r="1200">
      <c r="A1200" s="7" t="inlineStr">
        <is>
          <t>L101195</t>
        </is>
      </c>
      <c r="B1200" s="8" t="n">
        <v>482226.7</v>
      </c>
      <c r="C1200" s="8" t="n">
        <v>481288.36</v>
      </c>
      <c r="D1200" s="27" t="n">
        <v>6.133</v>
      </c>
      <c r="E1200" s="10" t="n">
        <v>773</v>
      </c>
      <c r="F1200" s="12" t="n">
        <v>85.2</v>
      </c>
      <c r="G1200" s="12" t="n">
        <v>46</v>
      </c>
      <c r="H1200" s="10" t="n">
        <v>2</v>
      </c>
      <c r="I1200" s="10" t="n">
        <v>358</v>
      </c>
      <c r="J1200" s="7" t="inlineStr">
        <is>
          <t>CA</t>
        </is>
      </c>
      <c r="K1200" s="7" t="inlineStr">
        <is>
          <t>Condo</t>
        </is>
      </c>
      <c r="L1200" s="7" t="inlineStr">
        <is>
          <t>Apex Funding</t>
        </is>
      </c>
      <c r="M1200" s="7" t="inlineStr">
        <is>
          <t>Summit Loan Servicing</t>
        </is>
      </c>
    </row>
    <row r="1201">
      <c r="A1201" s="5" t="inlineStr">
        <is>
          <t>L101196</t>
        </is>
      </c>
      <c r="B1201" s="16" t="n">
        <v>157976.26</v>
      </c>
      <c r="C1201" s="16" t="n">
        <v>156666.51</v>
      </c>
      <c r="D1201" s="26" t="n">
        <v>5.147</v>
      </c>
      <c r="E1201" s="6" t="n">
        <v>643</v>
      </c>
      <c r="F1201" s="11" t="n">
        <v>74.90000000000001</v>
      </c>
      <c r="G1201" s="11" t="n">
        <v>31.4</v>
      </c>
      <c r="H1201" s="6" t="n">
        <v>7</v>
      </c>
      <c r="I1201" s="6" t="n">
        <v>353</v>
      </c>
      <c r="J1201" s="5" t="inlineStr">
        <is>
          <t>WA</t>
        </is>
      </c>
      <c r="K1201" s="5" t="inlineStr">
        <is>
          <t>Condo</t>
        </is>
      </c>
      <c r="L1201" s="5" t="inlineStr">
        <is>
          <t>Apex Funding</t>
        </is>
      </c>
      <c r="M1201" s="5" t="inlineStr">
        <is>
          <t>Summit Loan Servicing</t>
        </is>
      </c>
    </row>
    <row r="1202">
      <c r="A1202" s="7" t="inlineStr">
        <is>
          <t>L101197</t>
        </is>
      </c>
      <c r="B1202" s="8" t="n">
        <v>175556.01</v>
      </c>
      <c r="C1202" s="8" t="n">
        <v>173658.47</v>
      </c>
      <c r="D1202" s="27" t="n">
        <v>7.876</v>
      </c>
      <c r="E1202" s="10" t="n">
        <v>704</v>
      </c>
      <c r="F1202" s="12" t="n">
        <v>59.9</v>
      </c>
      <c r="G1202" s="12" t="n">
        <v>34.5</v>
      </c>
      <c r="H1202" s="10" t="n">
        <v>15</v>
      </c>
      <c r="I1202" s="10" t="n">
        <v>345</v>
      </c>
      <c r="J1202" s="7" t="inlineStr">
        <is>
          <t>IL</t>
        </is>
      </c>
      <c r="K1202" s="7" t="inlineStr">
        <is>
          <t>Condo</t>
        </is>
      </c>
      <c r="L1202" s="7" t="inlineStr">
        <is>
          <t>Meridian Home Loans</t>
        </is>
      </c>
      <c r="M1202" s="7" t="inlineStr">
        <is>
          <t>Northgate Servicing</t>
        </is>
      </c>
    </row>
    <row r="1203">
      <c r="A1203" s="5" t="inlineStr">
        <is>
          <t>L101198</t>
        </is>
      </c>
      <c r="B1203" s="16" t="n">
        <v>408285.34</v>
      </c>
      <c r="C1203" s="16" t="n">
        <v>397699.53</v>
      </c>
      <c r="D1203" s="26" t="n">
        <v>8.349</v>
      </c>
      <c r="E1203" s="6" t="n">
        <v>771</v>
      </c>
      <c r="F1203" s="11" t="n">
        <v>66.8</v>
      </c>
      <c r="G1203" s="11" t="n">
        <v>27.9</v>
      </c>
      <c r="H1203" s="6" t="n">
        <v>9</v>
      </c>
      <c r="I1203" s="6" t="n">
        <v>171</v>
      </c>
      <c r="J1203" s="5" t="inlineStr">
        <is>
          <t>OH</t>
        </is>
      </c>
      <c r="K1203" s="5" t="inlineStr">
        <is>
          <t>Multifamily</t>
        </is>
      </c>
      <c r="L1203" s="5" t="inlineStr">
        <is>
          <t>Coastal Mortgage Co</t>
        </is>
      </c>
      <c r="M1203" s="5" t="inlineStr">
        <is>
          <t>Pier Asset Mgmt</t>
        </is>
      </c>
    </row>
    <row r="1204">
      <c r="A1204" s="7" t="inlineStr">
        <is>
          <t>L101199</t>
        </is>
      </c>
      <c r="B1204" s="8" t="n">
        <v>167644.62</v>
      </c>
      <c r="C1204" s="8" t="n">
        <v>161064</v>
      </c>
      <c r="D1204" s="27" t="n">
        <v>5.448</v>
      </c>
      <c r="E1204" s="10" t="n">
        <v>692</v>
      </c>
      <c r="F1204" s="12" t="n">
        <v>71.40000000000001</v>
      </c>
      <c r="G1204" s="12" t="n">
        <v>42.7</v>
      </c>
      <c r="H1204" s="10" t="n">
        <v>33</v>
      </c>
      <c r="I1204" s="10" t="n">
        <v>327</v>
      </c>
      <c r="J1204" s="7" t="inlineStr">
        <is>
          <t>OH</t>
        </is>
      </c>
      <c r="K1204" s="7" t="inlineStr">
        <is>
          <t>2-4 Unit</t>
        </is>
      </c>
      <c r="L1204" s="7" t="inlineStr">
        <is>
          <t>Highline Capital</t>
        </is>
      </c>
      <c r="M1204" s="7" t="inlineStr">
        <is>
          <t>Summit Loan Servicing</t>
        </is>
      </c>
    </row>
    <row r="1205">
      <c r="A1205" s="5" t="inlineStr">
        <is>
          <t>L101200</t>
        </is>
      </c>
      <c r="B1205" s="16" t="n">
        <v>152834.45</v>
      </c>
      <c r="C1205" s="16" t="n">
        <v>148610.86</v>
      </c>
      <c r="D1205" s="26" t="n">
        <v>6.631</v>
      </c>
      <c r="E1205" s="6" t="n">
        <v>683</v>
      </c>
      <c r="F1205" s="11" t="n">
        <v>77</v>
      </c>
      <c r="G1205" s="11" t="n">
        <v>42.8</v>
      </c>
      <c r="H1205" s="6" t="n">
        <v>29</v>
      </c>
      <c r="I1205" s="6" t="n">
        <v>331</v>
      </c>
      <c r="J1205" s="5" t="inlineStr">
        <is>
          <t>NY</t>
        </is>
      </c>
      <c r="K1205" s="5" t="inlineStr">
        <is>
          <t>SFR</t>
        </is>
      </c>
      <c r="L1205" s="5" t="inlineStr">
        <is>
          <t>Apex Funding</t>
        </is>
      </c>
      <c r="M1205" s="5" t="inlineStr">
        <is>
          <t>Summit Loan Servicing</t>
        </is>
      </c>
    </row>
    <row r="1206">
      <c r="A1206" s="7" t="inlineStr">
        <is>
          <t>L101201</t>
        </is>
      </c>
      <c r="B1206" s="8" t="n">
        <v>204808.78</v>
      </c>
      <c r="C1206" s="8" t="n">
        <v>201120.25</v>
      </c>
      <c r="D1206" s="27" t="n">
        <v>5.536</v>
      </c>
      <c r="E1206" s="10" t="n">
        <v>779</v>
      </c>
      <c r="F1206" s="12" t="n">
        <v>68.3</v>
      </c>
      <c r="G1206" s="12" t="n">
        <v>41.9</v>
      </c>
      <c r="H1206" s="10" t="n">
        <v>16</v>
      </c>
      <c r="I1206" s="10" t="n">
        <v>344</v>
      </c>
      <c r="J1206" s="7" t="inlineStr">
        <is>
          <t>AZ</t>
        </is>
      </c>
      <c r="K1206" s="7" t="inlineStr">
        <is>
          <t>SFR</t>
        </is>
      </c>
      <c r="L1206" s="7" t="inlineStr">
        <is>
          <t>Highline Capital</t>
        </is>
      </c>
      <c r="M1206" s="7" t="inlineStr">
        <is>
          <t>Northgate Servicing</t>
        </is>
      </c>
    </row>
    <row r="1207">
      <c r="A1207" s="5" t="inlineStr">
        <is>
          <t>L101202</t>
        </is>
      </c>
      <c r="B1207" s="16" t="n">
        <v>281272.53</v>
      </c>
      <c r="C1207" s="16" t="n">
        <v>277414.5</v>
      </c>
      <c r="D1207" s="26" t="n">
        <v>6.122</v>
      </c>
      <c r="E1207" s="6" t="n">
        <v>698</v>
      </c>
      <c r="F1207" s="11" t="n">
        <v>62.8</v>
      </c>
      <c r="G1207" s="11" t="n">
        <v>40.3</v>
      </c>
      <c r="H1207" s="6" t="n">
        <v>4</v>
      </c>
      <c r="I1207" s="6" t="n">
        <v>176</v>
      </c>
      <c r="J1207" s="5" t="inlineStr">
        <is>
          <t>NY</t>
        </is>
      </c>
      <c r="K1207" s="5" t="inlineStr">
        <is>
          <t>SFR</t>
        </is>
      </c>
      <c r="L1207" s="5" t="inlineStr">
        <is>
          <t>Apex Funding</t>
        </is>
      </c>
      <c r="M1207" s="5" t="inlineStr">
        <is>
          <t>Pier Asset Mgmt</t>
        </is>
      </c>
    </row>
    <row r="1208">
      <c r="A1208" s="7" t="inlineStr">
        <is>
          <t>L101203</t>
        </is>
      </c>
      <c r="B1208" s="8" t="n">
        <v>234253.97</v>
      </c>
      <c r="C1208" s="8" t="n">
        <v>231524.42</v>
      </c>
      <c r="D1208" s="27" t="n">
        <v>8.023</v>
      </c>
      <c r="E1208" s="10" t="n">
        <v>776</v>
      </c>
      <c r="F1208" s="12" t="n">
        <v>59.7</v>
      </c>
      <c r="G1208" s="12" t="n">
        <v>36.6</v>
      </c>
      <c r="H1208" s="10" t="n">
        <v>4</v>
      </c>
      <c r="I1208" s="10" t="n">
        <v>176</v>
      </c>
      <c r="J1208" s="7" t="inlineStr">
        <is>
          <t>AZ</t>
        </is>
      </c>
      <c r="K1208" s="7" t="inlineStr">
        <is>
          <t>SFR</t>
        </is>
      </c>
      <c r="L1208" s="7" t="inlineStr">
        <is>
          <t>Coastal Mortgage Co</t>
        </is>
      </c>
      <c r="M1208" s="7" t="inlineStr">
        <is>
          <t>Pier Asset Mgmt</t>
        </is>
      </c>
    </row>
    <row r="1209">
      <c r="A1209" s="5" t="inlineStr">
        <is>
          <t>L101204</t>
        </is>
      </c>
      <c r="B1209" s="16" t="n">
        <v>193358.79</v>
      </c>
      <c r="C1209" s="16" t="n">
        <v>183638.47</v>
      </c>
      <c r="D1209" s="26" t="n">
        <v>5.98</v>
      </c>
      <c r="E1209" s="6" t="n">
        <v>739</v>
      </c>
      <c r="F1209" s="11" t="n">
        <v>54.2</v>
      </c>
      <c r="G1209" s="11" t="n">
        <v>31.8</v>
      </c>
      <c r="H1209" s="6" t="n">
        <v>45</v>
      </c>
      <c r="I1209" s="6" t="n">
        <v>315</v>
      </c>
      <c r="J1209" s="5" t="inlineStr">
        <is>
          <t>WA</t>
        </is>
      </c>
      <c r="K1209" s="5" t="inlineStr">
        <is>
          <t>Multifamily</t>
        </is>
      </c>
      <c r="L1209" s="5" t="inlineStr">
        <is>
          <t>Highline Capital</t>
        </is>
      </c>
      <c r="M1209" s="5" t="inlineStr">
        <is>
          <t>Northgate Servicing</t>
        </is>
      </c>
    </row>
    <row r="1210">
      <c r="A1210" s="7" t="inlineStr">
        <is>
          <t>L101205</t>
        </is>
      </c>
      <c r="B1210" s="8" t="n">
        <v>191764.94</v>
      </c>
      <c r="C1210" s="8" t="n">
        <v>188474.67</v>
      </c>
      <c r="D1210" s="27" t="n">
        <v>6.143</v>
      </c>
      <c r="E1210" s="10" t="n">
        <v>696</v>
      </c>
      <c r="F1210" s="12" t="n">
        <v>71.2</v>
      </c>
      <c r="G1210" s="12" t="n">
        <v>29.5</v>
      </c>
      <c r="H1210" s="10" t="n">
        <v>17</v>
      </c>
      <c r="I1210" s="10" t="n">
        <v>343</v>
      </c>
      <c r="J1210" s="7" t="inlineStr">
        <is>
          <t>OH</t>
        </is>
      </c>
      <c r="K1210" s="7" t="inlineStr">
        <is>
          <t>SFR</t>
        </is>
      </c>
      <c r="L1210" s="7" t="inlineStr">
        <is>
          <t>Apex Funding</t>
        </is>
      </c>
      <c r="M1210" s="7" t="inlineStr">
        <is>
          <t>Summit Loan Servicing</t>
        </is>
      </c>
    </row>
    <row r="1211">
      <c r="A1211" s="5" t="inlineStr">
        <is>
          <t>L101206</t>
        </is>
      </c>
      <c r="B1211" s="16" t="n">
        <v>189223.1</v>
      </c>
      <c r="C1211" s="16" t="n">
        <v>187978.2</v>
      </c>
      <c r="D1211" s="26" t="n">
        <v>5.552</v>
      </c>
      <c r="E1211" s="6" t="n">
        <v>741</v>
      </c>
      <c r="F1211" s="11" t="n">
        <v>56.4</v>
      </c>
      <c r="G1211" s="11" t="n">
        <v>46.3</v>
      </c>
      <c r="H1211" s="6" t="n">
        <v>6</v>
      </c>
      <c r="I1211" s="6" t="n">
        <v>354</v>
      </c>
      <c r="J1211" s="5" t="inlineStr">
        <is>
          <t>AZ</t>
        </is>
      </c>
      <c r="K1211" s="5" t="inlineStr">
        <is>
          <t>SFR</t>
        </is>
      </c>
      <c r="L1211" s="5" t="inlineStr">
        <is>
          <t>Meridian Home Loans</t>
        </is>
      </c>
      <c r="M1211" s="5" t="inlineStr">
        <is>
          <t>Northgate Servicing</t>
        </is>
      </c>
    </row>
    <row r="1212">
      <c r="A1212" s="7" t="inlineStr">
        <is>
          <t>L101207</t>
        </is>
      </c>
      <c r="B1212" s="8" t="n">
        <v>178469.26</v>
      </c>
      <c r="C1212" s="8" t="n">
        <v>173405.44</v>
      </c>
      <c r="D1212" s="27" t="n">
        <v>7.432</v>
      </c>
      <c r="E1212" s="10" t="n">
        <v>733</v>
      </c>
      <c r="F1212" s="12" t="n">
        <v>62</v>
      </c>
      <c r="G1212" s="12" t="n">
        <v>42.1</v>
      </c>
      <c r="H1212" s="10" t="n">
        <v>34</v>
      </c>
      <c r="I1212" s="10" t="n">
        <v>326</v>
      </c>
      <c r="J1212" s="7" t="inlineStr">
        <is>
          <t>NY</t>
        </is>
      </c>
      <c r="K1212" s="7" t="inlineStr">
        <is>
          <t>Multifamily</t>
        </is>
      </c>
      <c r="L1212" s="7" t="inlineStr">
        <is>
          <t>Coastal Mortgage Co</t>
        </is>
      </c>
      <c r="M1212" s="7" t="inlineStr">
        <is>
          <t>Northgate Servicing</t>
        </is>
      </c>
    </row>
    <row r="1213">
      <c r="A1213" s="5" t="inlineStr">
        <is>
          <t>L101208</t>
        </is>
      </c>
      <c r="B1213" s="16" t="n">
        <v>539593.58</v>
      </c>
      <c r="C1213" s="16" t="n">
        <v>502666.11</v>
      </c>
      <c r="D1213" s="26" t="n">
        <v>3.5</v>
      </c>
      <c r="E1213" s="6" t="n">
        <v>771</v>
      </c>
      <c r="F1213" s="11" t="n">
        <v>69.3</v>
      </c>
      <c r="G1213" s="11" t="n">
        <v>30.5</v>
      </c>
      <c r="H1213" s="6" t="n">
        <v>41</v>
      </c>
      <c r="I1213" s="6" t="n">
        <v>319</v>
      </c>
      <c r="J1213" s="5" t="inlineStr">
        <is>
          <t>TX</t>
        </is>
      </c>
      <c r="K1213" s="5" t="inlineStr">
        <is>
          <t>Condo</t>
        </is>
      </c>
      <c r="L1213" s="5" t="inlineStr">
        <is>
          <t>Apex Funding</t>
        </is>
      </c>
      <c r="M1213" s="5" t="inlineStr">
        <is>
          <t>Northgate Servicing</t>
        </is>
      </c>
    </row>
    <row r="1214">
      <c r="A1214" s="7" t="inlineStr">
        <is>
          <t>L101209</t>
        </is>
      </c>
      <c r="B1214" s="8" t="n">
        <v>269447.51</v>
      </c>
      <c r="C1214" s="8" t="n">
        <v>267818.15</v>
      </c>
      <c r="D1214" s="27" t="n">
        <v>6.001</v>
      </c>
      <c r="E1214" s="10" t="n">
        <v>685</v>
      </c>
      <c r="F1214" s="12" t="n">
        <v>58</v>
      </c>
      <c r="G1214" s="12" t="n">
        <v>36.3</v>
      </c>
      <c r="H1214" s="10" t="n">
        <v>6</v>
      </c>
      <c r="I1214" s="10" t="n">
        <v>354</v>
      </c>
      <c r="J1214" s="7" t="inlineStr">
        <is>
          <t>GA</t>
        </is>
      </c>
      <c r="K1214" s="7" t="inlineStr">
        <is>
          <t>SFR</t>
        </is>
      </c>
      <c r="L1214" s="7" t="inlineStr">
        <is>
          <t>Coastal Mortgage Co</t>
        </is>
      </c>
      <c r="M1214" s="7" t="inlineStr">
        <is>
          <t>Northgate Servicing</t>
        </is>
      </c>
    </row>
    <row r="1215">
      <c r="A1215" s="5" t="inlineStr">
        <is>
          <t>L101210</t>
        </is>
      </c>
      <c r="B1215" s="16" t="n">
        <v>331162.9</v>
      </c>
      <c r="C1215" s="16" t="n">
        <v>315573.73</v>
      </c>
      <c r="D1215" s="26" t="n">
        <v>6.359</v>
      </c>
      <c r="E1215" s="6" t="n">
        <v>717</v>
      </c>
      <c r="F1215" s="11" t="n">
        <v>78.59999999999999</v>
      </c>
      <c r="G1215" s="11" t="n">
        <v>33.6</v>
      </c>
      <c r="H1215" s="6" t="n">
        <v>45</v>
      </c>
      <c r="I1215" s="6" t="n">
        <v>315</v>
      </c>
      <c r="J1215" s="5" t="inlineStr">
        <is>
          <t>TX</t>
        </is>
      </c>
      <c r="K1215" s="5" t="inlineStr">
        <is>
          <t>2-4 Unit</t>
        </is>
      </c>
      <c r="L1215" s="5" t="inlineStr">
        <is>
          <t>Coastal Mortgage Co</t>
        </is>
      </c>
      <c r="M1215" s="5" t="inlineStr">
        <is>
          <t>Northgate Servicing</t>
        </is>
      </c>
    </row>
    <row r="1216">
      <c r="A1216" s="7" t="inlineStr">
        <is>
          <t>L101211</t>
        </is>
      </c>
      <c r="B1216" s="8" t="n">
        <v>204602.2</v>
      </c>
      <c r="C1216" s="8" t="n">
        <v>196561.13</v>
      </c>
      <c r="D1216" s="27" t="n">
        <v>5.805</v>
      </c>
      <c r="E1216" s="10" t="n">
        <v>712</v>
      </c>
      <c r="F1216" s="12" t="n">
        <v>82.90000000000001</v>
      </c>
      <c r="G1216" s="12" t="n">
        <v>27</v>
      </c>
      <c r="H1216" s="10" t="n">
        <v>35</v>
      </c>
      <c r="I1216" s="10" t="n">
        <v>325</v>
      </c>
      <c r="J1216" s="7" t="inlineStr">
        <is>
          <t>GA</t>
        </is>
      </c>
      <c r="K1216" s="7" t="inlineStr">
        <is>
          <t>SFR</t>
        </is>
      </c>
      <c r="L1216" s="7" t="inlineStr">
        <is>
          <t>Highline Capital</t>
        </is>
      </c>
      <c r="M1216" s="7" t="inlineStr">
        <is>
          <t>Pier Asset Mgmt</t>
        </is>
      </c>
    </row>
    <row r="1217">
      <c r="A1217" s="5" t="inlineStr">
        <is>
          <t>L101212</t>
        </is>
      </c>
      <c r="B1217" s="16" t="n">
        <v>227502.19</v>
      </c>
      <c r="C1217" s="16" t="n">
        <v>225268.9</v>
      </c>
      <c r="D1217" s="26" t="n">
        <v>7.177</v>
      </c>
      <c r="E1217" s="6" t="n">
        <v>754</v>
      </c>
      <c r="F1217" s="11" t="n">
        <v>67.40000000000001</v>
      </c>
      <c r="G1217" s="11" t="n">
        <v>37.4</v>
      </c>
      <c r="H1217" s="6" t="n">
        <v>12</v>
      </c>
      <c r="I1217" s="6" t="n">
        <v>348</v>
      </c>
      <c r="J1217" s="5" t="inlineStr">
        <is>
          <t>OH</t>
        </is>
      </c>
      <c r="K1217" s="5" t="inlineStr">
        <is>
          <t>SFR</t>
        </is>
      </c>
      <c r="L1217" s="5" t="inlineStr">
        <is>
          <t>Coastal Mortgage Co</t>
        </is>
      </c>
      <c r="M1217" s="5" t="inlineStr">
        <is>
          <t>Summit Loan Servicing</t>
        </is>
      </c>
    </row>
    <row r="1218">
      <c r="A1218" s="7" t="inlineStr">
        <is>
          <t>L101213</t>
        </is>
      </c>
      <c r="B1218" s="8" t="n">
        <v>189142.52</v>
      </c>
      <c r="C1218" s="8" t="n">
        <v>183300.14</v>
      </c>
      <c r="D1218" s="27" t="n">
        <v>7.482</v>
      </c>
      <c r="E1218" s="10" t="n">
        <v>659</v>
      </c>
      <c r="F1218" s="12" t="n">
        <v>68.8</v>
      </c>
      <c r="G1218" s="12" t="n">
        <v>32.7</v>
      </c>
      <c r="H1218" s="10" t="n">
        <v>37</v>
      </c>
      <c r="I1218" s="10" t="n">
        <v>323</v>
      </c>
      <c r="J1218" s="7" t="inlineStr">
        <is>
          <t>TX</t>
        </is>
      </c>
      <c r="K1218" s="7" t="inlineStr">
        <is>
          <t>SFR</t>
        </is>
      </c>
      <c r="L1218" s="7" t="inlineStr">
        <is>
          <t>Coastal Mortgage Co</t>
        </is>
      </c>
      <c r="M1218" s="7" t="inlineStr">
        <is>
          <t>Summit Loan Servicing</t>
        </is>
      </c>
    </row>
    <row r="1219">
      <c r="A1219" s="5" t="inlineStr">
        <is>
          <t>L101214</t>
        </is>
      </c>
      <c r="B1219" s="16" t="n">
        <v>95980.67</v>
      </c>
      <c r="C1219" s="16" t="n">
        <v>93634.82000000001</v>
      </c>
      <c r="D1219" s="26" t="n">
        <v>5.129</v>
      </c>
      <c r="E1219" s="6" t="n">
        <v>771</v>
      </c>
      <c r="F1219" s="11" t="n">
        <v>80.40000000000001</v>
      </c>
      <c r="G1219" s="11" t="n">
        <v>28.4</v>
      </c>
      <c r="H1219" s="6" t="n">
        <v>20</v>
      </c>
      <c r="I1219" s="6" t="n">
        <v>340</v>
      </c>
      <c r="J1219" s="5" t="inlineStr">
        <is>
          <t>WA</t>
        </is>
      </c>
      <c r="K1219" s="5" t="inlineStr">
        <is>
          <t>Multifamily</t>
        </is>
      </c>
      <c r="L1219" s="5" t="inlineStr">
        <is>
          <t>Meridian Home Loans</t>
        </is>
      </c>
      <c r="M1219" s="5" t="inlineStr">
        <is>
          <t>Summit Loan Servicing</t>
        </is>
      </c>
    </row>
    <row r="1220">
      <c r="A1220" s="7" t="inlineStr">
        <is>
          <t>L101215</t>
        </is>
      </c>
      <c r="B1220" s="8" t="n">
        <v>149895.96</v>
      </c>
      <c r="C1220" s="8" t="n">
        <v>146744.02</v>
      </c>
      <c r="D1220" s="27" t="n">
        <v>8.284000000000001</v>
      </c>
      <c r="E1220" s="10" t="n">
        <v>741</v>
      </c>
      <c r="F1220" s="12" t="n">
        <v>65.40000000000001</v>
      </c>
      <c r="G1220" s="12" t="n">
        <v>24.2</v>
      </c>
      <c r="H1220" s="10" t="n">
        <v>30</v>
      </c>
      <c r="I1220" s="10" t="n">
        <v>330</v>
      </c>
      <c r="J1220" s="7" t="inlineStr">
        <is>
          <t>GA</t>
        </is>
      </c>
      <c r="K1220" s="7" t="inlineStr">
        <is>
          <t>SFR</t>
        </is>
      </c>
      <c r="L1220" s="7" t="inlineStr">
        <is>
          <t>Coastal Mortgage Co</t>
        </is>
      </c>
      <c r="M1220" s="7" t="inlineStr">
        <is>
          <t>Northgate Servicing</t>
        </is>
      </c>
    </row>
    <row r="1221">
      <c r="A1221" s="5" t="inlineStr">
        <is>
          <t>L101216</t>
        </is>
      </c>
      <c r="B1221" s="16" t="n">
        <v>128834.44</v>
      </c>
      <c r="C1221" s="16" t="n">
        <v>127916.15</v>
      </c>
      <c r="D1221" s="26" t="n">
        <v>5.119</v>
      </c>
      <c r="E1221" s="6" t="n">
        <v>643</v>
      </c>
      <c r="F1221" s="11" t="n">
        <v>64.59999999999999</v>
      </c>
      <c r="G1221" s="11" t="n">
        <v>23.5</v>
      </c>
      <c r="H1221" s="6" t="n">
        <v>6</v>
      </c>
      <c r="I1221" s="6" t="n">
        <v>354</v>
      </c>
      <c r="J1221" s="5" t="inlineStr">
        <is>
          <t>CA</t>
        </is>
      </c>
      <c r="K1221" s="5" t="inlineStr">
        <is>
          <t>SFR</t>
        </is>
      </c>
      <c r="L1221" s="5" t="inlineStr">
        <is>
          <t>Highline Capital</t>
        </is>
      </c>
      <c r="M1221" s="5" t="inlineStr">
        <is>
          <t>Northgate Servicing</t>
        </is>
      </c>
    </row>
    <row r="1222">
      <c r="A1222" s="7" t="inlineStr">
        <is>
          <t>L101217</t>
        </is>
      </c>
      <c r="B1222" s="8" t="n">
        <v>110478.44</v>
      </c>
      <c r="C1222" s="8" t="n">
        <v>109471.9</v>
      </c>
      <c r="D1222" s="27" t="n">
        <v>7.56</v>
      </c>
      <c r="E1222" s="10" t="n">
        <v>781</v>
      </c>
      <c r="F1222" s="12" t="n">
        <v>88.40000000000001</v>
      </c>
      <c r="G1222" s="12" t="n">
        <v>33</v>
      </c>
      <c r="H1222" s="10" t="n">
        <v>12</v>
      </c>
      <c r="I1222" s="10" t="n">
        <v>348</v>
      </c>
      <c r="J1222" s="7" t="inlineStr">
        <is>
          <t>AZ</t>
        </is>
      </c>
      <c r="K1222" s="7" t="inlineStr">
        <is>
          <t>Condo</t>
        </is>
      </c>
      <c r="L1222" s="7" t="inlineStr">
        <is>
          <t>Coastal Mortgage Co</t>
        </is>
      </c>
      <c r="M1222" s="7" t="inlineStr">
        <is>
          <t>Pier Asset Mgmt</t>
        </is>
      </c>
    </row>
    <row r="1223">
      <c r="A1223" s="5" t="inlineStr">
        <is>
          <t>L101218</t>
        </is>
      </c>
      <c r="B1223" s="16" t="n">
        <v>159791.38</v>
      </c>
      <c r="C1223" s="16" t="n">
        <v>153927.83</v>
      </c>
      <c r="D1223" s="26" t="n">
        <v>6.535</v>
      </c>
      <c r="E1223" s="6" t="n">
        <v>820</v>
      </c>
      <c r="F1223" s="11" t="n">
        <v>84.59999999999999</v>
      </c>
      <c r="G1223" s="11" t="n">
        <v>35.3</v>
      </c>
      <c r="H1223" s="6" t="n">
        <v>37</v>
      </c>
      <c r="I1223" s="6" t="n">
        <v>323</v>
      </c>
      <c r="J1223" s="5" t="inlineStr">
        <is>
          <t>CA</t>
        </is>
      </c>
      <c r="K1223" s="5" t="inlineStr">
        <is>
          <t>2-4 Unit</t>
        </is>
      </c>
      <c r="L1223" s="5" t="inlineStr">
        <is>
          <t>Coastal Mortgage Co</t>
        </is>
      </c>
      <c r="M1223" s="5" t="inlineStr">
        <is>
          <t>Northgate Servicing</t>
        </is>
      </c>
    </row>
    <row r="1224">
      <c r="A1224" s="7" t="inlineStr">
        <is>
          <t>L101219</t>
        </is>
      </c>
      <c r="B1224" s="8" t="n">
        <v>386054.75</v>
      </c>
      <c r="C1224" s="8" t="n">
        <v>369865.31</v>
      </c>
      <c r="D1224" s="27" t="n">
        <v>5.947</v>
      </c>
      <c r="E1224" s="10" t="n">
        <v>770</v>
      </c>
      <c r="F1224" s="12" t="n">
        <v>81.2</v>
      </c>
      <c r="G1224" s="12" t="n">
        <v>29</v>
      </c>
      <c r="H1224" s="10" t="n">
        <v>38</v>
      </c>
      <c r="I1224" s="10" t="n">
        <v>322</v>
      </c>
      <c r="J1224" s="7" t="inlineStr">
        <is>
          <t>NC</t>
        </is>
      </c>
      <c r="K1224" s="7" t="inlineStr">
        <is>
          <t>SFR</t>
        </is>
      </c>
      <c r="L1224" s="7" t="inlineStr">
        <is>
          <t>Apex Funding</t>
        </is>
      </c>
      <c r="M1224" s="7" t="inlineStr">
        <is>
          <t>Northgate Servicing</t>
        </is>
      </c>
    </row>
    <row r="1225">
      <c r="A1225" s="5" t="inlineStr">
        <is>
          <t>L101220</t>
        </is>
      </c>
      <c r="B1225" s="16" t="n">
        <v>239054.62</v>
      </c>
      <c r="C1225" s="16" t="n">
        <v>238818.09</v>
      </c>
      <c r="D1225" s="26" t="n">
        <v>6.032</v>
      </c>
      <c r="E1225" s="6" t="n">
        <v>793</v>
      </c>
      <c r="F1225" s="11" t="n">
        <v>85.09999999999999</v>
      </c>
      <c r="G1225" s="11" t="n">
        <v>41.2</v>
      </c>
      <c r="H1225" s="6" t="n">
        <v>1</v>
      </c>
      <c r="I1225" s="6" t="n">
        <v>359</v>
      </c>
      <c r="J1225" s="5" t="inlineStr">
        <is>
          <t>GA</t>
        </is>
      </c>
      <c r="K1225" s="5" t="inlineStr">
        <is>
          <t>SFR</t>
        </is>
      </c>
      <c r="L1225" s="5" t="inlineStr">
        <is>
          <t>Highline Capital</t>
        </is>
      </c>
      <c r="M1225" s="5" t="inlineStr">
        <is>
          <t>Pier Asset Mgmt</t>
        </is>
      </c>
    </row>
    <row r="1226">
      <c r="A1226" s="7" t="inlineStr">
        <is>
          <t>L101221</t>
        </is>
      </c>
      <c r="B1226" s="8" t="n">
        <v>381435.6</v>
      </c>
      <c r="C1226" s="8" t="n">
        <v>377440.8</v>
      </c>
      <c r="D1226" s="27" t="n">
        <v>6.37</v>
      </c>
      <c r="E1226" s="10" t="n">
        <v>720</v>
      </c>
      <c r="F1226" s="12" t="n">
        <v>50.3</v>
      </c>
      <c r="G1226" s="12" t="n">
        <v>35.5</v>
      </c>
      <c r="H1226" s="10" t="n">
        <v>11</v>
      </c>
      <c r="I1226" s="10" t="n">
        <v>349</v>
      </c>
      <c r="J1226" s="7" t="inlineStr">
        <is>
          <t>AZ</t>
        </is>
      </c>
      <c r="K1226" s="7" t="inlineStr">
        <is>
          <t>Multifamily</t>
        </is>
      </c>
      <c r="L1226" s="7" t="inlineStr">
        <is>
          <t>Highline Capital</t>
        </is>
      </c>
      <c r="M1226" s="7" t="inlineStr">
        <is>
          <t>Pier Asset Mgmt</t>
        </is>
      </c>
    </row>
    <row r="1227">
      <c r="A1227" s="5" t="inlineStr">
        <is>
          <t>L101222</t>
        </is>
      </c>
      <c r="B1227" s="16" t="n">
        <v>280363.96</v>
      </c>
      <c r="C1227" s="16" t="n">
        <v>272554.84</v>
      </c>
      <c r="D1227" s="26" t="n">
        <v>6.588</v>
      </c>
      <c r="E1227" s="6" t="n">
        <v>624</v>
      </c>
      <c r="F1227" s="11" t="n">
        <v>90.2</v>
      </c>
      <c r="G1227" s="11" t="n">
        <v>40.6</v>
      </c>
      <c r="H1227" s="6" t="n">
        <v>29</v>
      </c>
      <c r="I1227" s="6" t="n">
        <v>331</v>
      </c>
      <c r="J1227" s="5" t="inlineStr">
        <is>
          <t>NY</t>
        </is>
      </c>
      <c r="K1227" s="5" t="inlineStr">
        <is>
          <t>Condo</t>
        </is>
      </c>
      <c r="L1227" s="5" t="inlineStr">
        <is>
          <t>Coastal Mortgage Co</t>
        </is>
      </c>
      <c r="M1227" s="5" t="inlineStr">
        <is>
          <t>Pier Asset Mgmt</t>
        </is>
      </c>
    </row>
    <row r="1228">
      <c r="A1228" s="7" t="inlineStr">
        <is>
          <t>L101223</t>
        </is>
      </c>
      <c r="B1228" s="8" t="n">
        <v>319302.94</v>
      </c>
      <c r="C1228" s="8" t="n">
        <v>302935.26</v>
      </c>
      <c r="D1228" s="27" t="n">
        <v>5.572</v>
      </c>
      <c r="E1228" s="10" t="n">
        <v>614</v>
      </c>
      <c r="F1228" s="12" t="n">
        <v>78.7</v>
      </c>
      <c r="G1228" s="12" t="n">
        <v>34.5</v>
      </c>
      <c r="H1228" s="10" t="n">
        <v>43</v>
      </c>
      <c r="I1228" s="10" t="n">
        <v>317</v>
      </c>
      <c r="J1228" s="7" t="inlineStr">
        <is>
          <t>TX</t>
        </is>
      </c>
      <c r="K1228" s="7" t="inlineStr">
        <is>
          <t>SFR</t>
        </is>
      </c>
      <c r="L1228" s="7" t="inlineStr">
        <is>
          <t>Meridian Home Loans</t>
        </is>
      </c>
      <c r="M1228" s="7" t="inlineStr">
        <is>
          <t>Northgate Servicing</t>
        </is>
      </c>
    </row>
    <row r="1229">
      <c r="A1229" s="5" t="inlineStr">
        <is>
          <t>L101224</t>
        </is>
      </c>
      <c r="B1229" s="16" t="n">
        <v>177138.3</v>
      </c>
      <c r="C1229" s="16" t="n">
        <v>171237.97</v>
      </c>
      <c r="D1229" s="26" t="n">
        <v>6.189</v>
      </c>
      <c r="E1229" s="6" t="n">
        <v>729</v>
      </c>
      <c r="F1229" s="11" t="n">
        <v>86.09999999999999</v>
      </c>
      <c r="G1229" s="11" t="n">
        <v>29.7</v>
      </c>
      <c r="H1229" s="6" t="n">
        <v>32</v>
      </c>
      <c r="I1229" s="6" t="n">
        <v>328</v>
      </c>
      <c r="J1229" s="5" t="inlineStr">
        <is>
          <t>NY</t>
        </is>
      </c>
      <c r="K1229" s="5" t="inlineStr">
        <is>
          <t>SFR</t>
        </is>
      </c>
      <c r="L1229" s="5" t="inlineStr">
        <is>
          <t>Apex Funding</t>
        </is>
      </c>
      <c r="M1229" s="5" t="inlineStr">
        <is>
          <t>Summit Loan Servicing</t>
        </is>
      </c>
    </row>
    <row r="1230">
      <c r="A1230" s="7" t="inlineStr">
        <is>
          <t>L101225</t>
        </is>
      </c>
      <c r="B1230" s="8" t="n">
        <v>291671.32</v>
      </c>
      <c r="C1230" s="8" t="n">
        <v>253821.51</v>
      </c>
      <c r="D1230" s="27" t="n">
        <v>5.706</v>
      </c>
      <c r="E1230" s="10" t="n">
        <v>682</v>
      </c>
      <c r="F1230" s="12" t="n">
        <v>78.59999999999999</v>
      </c>
      <c r="G1230" s="12" t="n">
        <v>36.9</v>
      </c>
      <c r="H1230" s="10" t="n">
        <v>34</v>
      </c>
      <c r="I1230" s="10" t="n">
        <v>146</v>
      </c>
      <c r="J1230" s="7" t="inlineStr">
        <is>
          <t>AZ</t>
        </is>
      </c>
      <c r="K1230" s="7" t="inlineStr">
        <is>
          <t>SFR</t>
        </is>
      </c>
      <c r="L1230" s="7" t="inlineStr">
        <is>
          <t>Coastal Mortgage Co</t>
        </is>
      </c>
      <c r="M1230" s="7" t="inlineStr">
        <is>
          <t>Pier Asset Mgmt</t>
        </is>
      </c>
    </row>
    <row r="1231">
      <c r="A1231" s="5" t="inlineStr">
        <is>
          <t>L101226</t>
        </is>
      </c>
      <c r="B1231" s="16" t="n">
        <v>313341.83</v>
      </c>
      <c r="C1231" s="16" t="n">
        <v>306308.19</v>
      </c>
      <c r="D1231" s="26" t="n">
        <v>5.306</v>
      </c>
      <c r="E1231" s="6" t="n">
        <v>665</v>
      </c>
      <c r="F1231" s="11" t="n">
        <v>74.59999999999999</v>
      </c>
      <c r="G1231" s="11" t="n">
        <v>25.9</v>
      </c>
      <c r="H1231" s="6" t="n">
        <v>19</v>
      </c>
      <c r="I1231" s="6" t="n">
        <v>341</v>
      </c>
      <c r="J1231" s="5" t="inlineStr">
        <is>
          <t>WA</t>
        </is>
      </c>
      <c r="K1231" s="5" t="inlineStr">
        <is>
          <t>Condo</t>
        </is>
      </c>
      <c r="L1231" s="5" t="inlineStr">
        <is>
          <t>Coastal Mortgage Co</t>
        </is>
      </c>
      <c r="M1231" s="5" t="inlineStr">
        <is>
          <t>Northgate Servicing</t>
        </is>
      </c>
    </row>
    <row r="1232">
      <c r="A1232" s="7" t="inlineStr">
        <is>
          <t>L101227</t>
        </is>
      </c>
      <c r="B1232" s="8" t="n">
        <v>198426.38</v>
      </c>
      <c r="C1232" s="8" t="n">
        <v>197791.68</v>
      </c>
      <c r="D1232" s="27" t="n">
        <v>5.664</v>
      </c>
      <c r="E1232" s="10" t="n">
        <v>712</v>
      </c>
      <c r="F1232" s="12" t="n">
        <v>70.7</v>
      </c>
      <c r="G1232" s="12" t="n">
        <v>40.3</v>
      </c>
      <c r="H1232" s="10" t="n">
        <v>3</v>
      </c>
      <c r="I1232" s="10" t="n">
        <v>357</v>
      </c>
      <c r="J1232" s="7" t="inlineStr">
        <is>
          <t>FL</t>
        </is>
      </c>
      <c r="K1232" s="7" t="inlineStr">
        <is>
          <t>SFR</t>
        </is>
      </c>
      <c r="L1232" s="7" t="inlineStr">
        <is>
          <t>Meridian Home Loans</t>
        </is>
      </c>
      <c r="M1232" s="7" t="inlineStr">
        <is>
          <t>Summit Loan Servicing</t>
        </is>
      </c>
    </row>
    <row r="1233">
      <c r="A1233" s="5" t="inlineStr">
        <is>
          <t>L101228</t>
        </is>
      </c>
      <c r="B1233" s="16" t="n">
        <v>295327.19</v>
      </c>
      <c r="C1233" s="16" t="n">
        <v>253572.3</v>
      </c>
      <c r="D1233" s="26" t="n">
        <v>5.365</v>
      </c>
      <c r="E1233" s="6" t="n">
        <v>749</v>
      </c>
      <c r="F1233" s="11" t="n">
        <v>78.40000000000001</v>
      </c>
      <c r="G1233" s="11" t="n">
        <v>28.5</v>
      </c>
      <c r="H1233" s="6" t="n">
        <v>36</v>
      </c>
      <c r="I1233" s="6" t="n">
        <v>144</v>
      </c>
      <c r="J1233" s="5" t="inlineStr">
        <is>
          <t>NY</t>
        </is>
      </c>
      <c r="K1233" s="5" t="inlineStr">
        <is>
          <t>Condo</t>
        </is>
      </c>
      <c r="L1233" s="5" t="inlineStr">
        <is>
          <t>Highline Capital</t>
        </is>
      </c>
      <c r="M1233" s="5" t="inlineStr">
        <is>
          <t>Northgate Servicing</t>
        </is>
      </c>
    </row>
    <row r="1234">
      <c r="A1234" s="7" t="inlineStr">
        <is>
          <t>L101229</t>
        </is>
      </c>
      <c r="B1234" s="8" t="n">
        <v>296015.09</v>
      </c>
      <c r="C1234" s="8" t="n">
        <v>253598.73</v>
      </c>
      <c r="D1234" s="27" t="n">
        <v>6.022</v>
      </c>
      <c r="E1234" s="10" t="n">
        <v>635</v>
      </c>
      <c r="F1234" s="12" t="n">
        <v>70.3</v>
      </c>
      <c r="G1234" s="12" t="n">
        <v>43.3</v>
      </c>
      <c r="H1234" s="10" t="n">
        <v>38</v>
      </c>
      <c r="I1234" s="10" t="n">
        <v>142</v>
      </c>
      <c r="J1234" s="7" t="inlineStr">
        <is>
          <t>OH</t>
        </is>
      </c>
      <c r="K1234" s="7" t="inlineStr">
        <is>
          <t>SFR</t>
        </is>
      </c>
      <c r="L1234" s="7" t="inlineStr">
        <is>
          <t>Meridian Home Loans</t>
        </is>
      </c>
      <c r="M1234" s="7" t="inlineStr">
        <is>
          <t>Summit Loan Servicing</t>
        </is>
      </c>
    </row>
    <row r="1235">
      <c r="A1235" s="5" t="inlineStr">
        <is>
          <t>L101230</t>
        </is>
      </c>
      <c r="B1235" s="16" t="n">
        <v>200317.04</v>
      </c>
      <c r="C1235" s="16" t="n">
        <v>196511.94</v>
      </c>
      <c r="D1235" s="26" t="n">
        <v>6.789</v>
      </c>
      <c r="E1235" s="6" t="n">
        <v>690</v>
      </c>
      <c r="F1235" s="11" t="n">
        <v>84.40000000000001</v>
      </c>
      <c r="G1235" s="11" t="n">
        <v>33.3</v>
      </c>
      <c r="H1235" s="6" t="n">
        <v>21</v>
      </c>
      <c r="I1235" s="6" t="n">
        <v>339</v>
      </c>
      <c r="J1235" s="5" t="inlineStr">
        <is>
          <t>NY</t>
        </is>
      </c>
      <c r="K1235" s="5" t="inlineStr">
        <is>
          <t>2-4 Unit</t>
        </is>
      </c>
      <c r="L1235" s="5" t="inlineStr">
        <is>
          <t>Coastal Mortgage Co</t>
        </is>
      </c>
      <c r="M1235" s="5" t="inlineStr">
        <is>
          <t>Pier Asset Mgmt</t>
        </is>
      </c>
    </row>
    <row r="1236">
      <c r="A1236" s="7" t="inlineStr">
        <is>
          <t>L101231</t>
        </is>
      </c>
      <c r="B1236" s="8" t="n">
        <v>163903.16</v>
      </c>
      <c r="C1236" s="8" t="n">
        <v>160122.78</v>
      </c>
      <c r="D1236" s="27" t="n">
        <v>6.509</v>
      </c>
      <c r="E1236" s="10" t="n">
        <v>798</v>
      </c>
      <c r="F1236" s="12" t="n">
        <v>55</v>
      </c>
      <c r="G1236" s="12" t="n">
        <v>44.5</v>
      </c>
      <c r="H1236" s="10" t="n">
        <v>24</v>
      </c>
      <c r="I1236" s="10" t="n">
        <v>336</v>
      </c>
      <c r="J1236" s="7" t="inlineStr">
        <is>
          <t>FL</t>
        </is>
      </c>
      <c r="K1236" s="7" t="inlineStr">
        <is>
          <t>SFR</t>
        </is>
      </c>
      <c r="L1236" s="7" t="inlineStr">
        <is>
          <t>Coastal Mortgage Co</t>
        </is>
      </c>
      <c r="M1236" s="7" t="inlineStr">
        <is>
          <t>Northgate Servicing</t>
        </is>
      </c>
    </row>
    <row r="1237">
      <c r="A1237" s="5" t="inlineStr">
        <is>
          <t>L101232</t>
        </is>
      </c>
      <c r="B1237" s="16" t="n">
        <v>160420.71</v>
      </c>
      <c r="C1237" s="16" t="n">
        <v>159126.97</v>
      </c>
      <c r="D1237" s="26" t="n">
        <v>8.177</v>
      </c>
      <c r="E1237" s="6" t="n">
        <v>656</v>
      </c>
      <c r="F1237" s="11" t="n">
        <v>67.5</v>
      </c>
      <c r="G1237" s="11" t="n">
        <v>27</v>
      </c>
      <c r="H1237" s="6" t="n">
        <v>12</v>
      </c>
      <c r="I1237" s="6" t="n">
        <v>348</v>
      </c>
      <c r="J1237" s="5" t="inlineStr">
        <is>
          <t>OH</t>
        </is>
      </c>
      <c r="K1237" s="5" t="inlineStr">
        <is>
          <t>2-4 Unit</t>
        </is>
      </c>
      <c r="L1237" s="5" t="inlineStr">
        <is>
          <t>Meridian Home Loans</t>
        </is>
      </c>
      <c r="M1237" s="5" t="inlineStr">
        <is>
          <t>Pier Asset Mgmt</t>
        </is>
      </c>
    </row>
    <row r="1238">
      <c r="A1238" s="7" t="inlineStr">
        <is>
          <t>L101233</t>
        </is>
      </c>
      <c r="B1238" s="8" t="n">
        <v>250265.33</v>
      </c>
      <c r="C1238" s="8" t="n">
        <v>227778.9</v>
      </c>
      <c r="D1238" s="27" t="n">
        <v>4.411</v>
      </c>
      <c r="E1238" s="10" t="n">
        <v>763</v>
      </c>
      <c r="F1238" s="12" t="n">
        <v>97</v>
      </c>
      <c r="G1238" s="12" t="n">
        <v>30.6</v>
      </c>
      <c r="H1238" s="10" t="n">
        <v>22</v>
      </c>
      <c r="I1238" s="10" t="n">
        <v>158</v>
      </c>
      <c r="J1238" s="7" t="inlineStr">
        <is>
          <t>IL</t>
        </is>
      </c>
      <c r="K1238" s="7" t="inlineStr">
        <is>
          <t>SFR</t>
        </is>
      </c>
      <c r="L1238" s="7" t="inlineStr">
        <is>
          <t>Highline Capital</t>
        </is>
      </c>
      <c r="M1238" s="7" t="inlineStr">
        <is>
          <t>Northgate Servicing</t>
        </is>
      </c>
    </row>
    <row r="1239">
      <c r="A1239" s="5" t="inlineStr">
        <is>
          <t>L101234</t>
        </is>
      </c>
      <c r="B1239" s="16" t="n">
        <v>272243.85</v>
      </c>
      <c r="C1239" s="16" t="n">
        <v>269382.13</v>
      </c>
      <c r="D1239" s="26" t="n">
        <v>6.822</v>
      </c>
      <c r="E1239" s="6" t="n">
        <v>688</v>
      </c>
      <c r="F1239" s="11" t="n">
        <v>66.5</v>
      </c>
      <c r="G1239" s="11" t="n">
        <v>39</v>
      </c>
      <c r="H1239" s="6" t="n">
        <v>12</v>
      </c>
      <c r="I1239" s="6" t="n">
        <v>348</v>
      </c>
      <c r="J1239" s="5" t="inlineStr">
        <is>
          <t>GA</t>
        </is>
      </c>
      <c r="K1239" s="5" t="inlineStr">
        <is>
          <t>SFR</t>
        </is>
      </c>
      <c r="L1239" s="5" t="inlineStr">
        <is>
          <t>Apex Funding</t>
        </is>
      </c>
      <c r="M1239" s="5" t="inlineStr">
        <is>
          <t>Summit Loan Servicing</t>
        </is>
      </c>
    </row>
    <row r="1240">
      <c r="A1240" s="7" t="inlineStr">
        <is>
          <t>L101235</t>
        </is>
      </c>
      <c r="B1240" s="8" t="n">
        <v>183986.19</v>
      </c>
      <c r="C1240" s="8" t="n">
        <v>180420.99</v>
      </c>
      <c r="D1240" s="27" t="n">
        <v>6.406</v>
      </c>
      <c r="E1240" s="10" t="n">
        <v>745</v>
      </c>
      <c r="F1240" s="12" t="n">
        <v>71.09999999999999</v>
      </c>
      <c r="G1240" s="12" t="n">
        <v>45.4</v>
      </c>
      <c r="H1240" s="10" t="n">
        <v>20</v>
      </c>
      <c r="I1240" s="10" t="n">
        <v>340</v>
      </c>
      <c r="J1240" s="7" t="inlineStr">
        <is>
          <t>IL</t>
        </is>
      </c>
      <c r="K1240" s="7" t="inlineStr">
        <is>
          <t>SFR</t>
        </is>
      </c>
      <c r="L1240" s="7" t="inlineStr">
        <is>
          <t>Apex Funding</t>
        </is>
      </c>
      <c r="M1240" s="7" t="inlineStr">
        <is>
          <t>Northgate Servicing</t>
        </is>
      </c>
    </row>
    <row r="1241">
      <c r="A1241" s="5" t="inlineStr">
        <is>
          <t>L101236</t>
        </is>
      </c>
      <c r="B1241" s="16" t="n">
        <v>245071.4</v>
      </c>
      <c r="C1241" s="16" t="n">
        <v>243677.32</v>
      </c>
      <c r="D1241" s="26" t="n">
        <v>7.134</v>
      </c>
      <c r="E1241" s="6" t="n">
        <v>775</v>
      </c>
      <c r="F1241" s="11" t="n">
        <v>63.4</v>
      </c>
      <c r="G1241" s="11" t="n">
        <v>49.3</v>
      </c>
      <c r="H1241" s="6" t="n">
        <v>7</v>
      </c>
      <c r="I1241" s="6" t="n">
        <v>353</v>
      </c>
      <c r="J1241" s="5" t="inlineStr">
        <is>
          <t>NC</t>
        </is>
      </c>
      <c r="K1241" s="5" t="inlineStr">
        <is>
          <t>SFR</t>
        </is>
      </c>
      <c r="L1241" s="5" t="inlineStr">
        <is>
          <t>Meridian Home Loans</t>
        </is>
      </c>
      <c r="M1241" s="5" t="inlineStr">
        <is>
          <t>Northgate Servicing</t>
        </is>
      </c>
    </row>
    <row r="1242">
      <c r="A1242" s="7" t="inlineStr">
        <is>
          <t>L101237</t>
        </is>
      </c>
      <c r="B1242" s="8" t="n">
        <v>296466.04</v>
      </c>
      <c r="C1242" s="8" t="n">
        <v>288875.44</v>
      </c>
      <c r="D1242" s="27" t="n">
        <v>7.045</v>
      </c>
      <c r="E1242" s="10" t="n">
        <v>756</v>
      </c>
      <c r="F1242" s="12" t="n">
        <v>78</v>
      </c>
      <c r="G1242" s="12" t="n">
        <v>36.3</v>
      </c>
      <c r="H1242" s="10" t="n">
        <v>29</v>
      </c>
      <c r="I1242" s="10" t="n">
        <v>331</v>
      </c>
      <c r="J1242" s="7" t="inlineStr">
        <is>
          <t>FL</t>
        </is>
      </c>
      <c r="K1242" s="7" t="inlineStr">
        <is>
          <t>SFR</t>
        </is>
      </c>
      <c r="L1242" s="7" t="inlineStr">
        <is>
          <t>Meridian Home Loans</t>
        </is>
      </c>
      <c r="M1242" s="7" t="inlineStr">
        <is>
          <t>Summit Loan Servicing</t>
        </is>
      </c>
    </row>
    <row r="1243">
      <c r="A1243" s="5" t="inlineStr">
        <is>
          <t>L101238</t>
        </is>
      </c>
      <c r="B1243" s="16" t="n">
        <v>301452.2</v>
      </c>
      <c r="C1243" s="16" t="n">
        <v>297921.13</v>
      </c>
      <c r="D1243" s="26" t="n">
        <v>6.252</v>
      </c>
      <c r="E1243" s="6" t="n">
        <v>765</v>
      </c>
      <c r="F1243" s="11" t="n">
        <v>65.2</v>
      </c>
      <c r="G1243" s="11" t="n">
        <v>50.7</v>
      </c>
      <c r="H1243" s="6" t="n">
        <v>12</v>
      </c>
      <c r="I1243" s="6" t="n">
        <v>348</v>
      </c>
      <c r="J1243" s="5" t="inlineStr">
        <is>
          <t>AZ</t>
        </is>
      </c>
      <c r="K1243" s="5" t="inlineStr">
        <is>
          <t>Condo</t>
        </is>
      </c>
      <c r="L1243" s="5" t="inlineStr">
        <is>
          <t>Meridian Home Loans</t>
        </is>
      </c>
      <c r="M1243" s="5" t="inlineStr">
        <is>
          <t>Pier Asset Mgmt</t>
        </is>
      </c>
    </row>
    <row r="1244">
      <c r="A1244" s="7" t="inlineStr">
        <is>
          <t>L101239</t>
        </is>
      </c>
      <c r="B1244" s="8" t="n">
        <v>417967.12</v>
      </c>
      <c r="C1244" s="8" t="n">
        <v>365267.54</v>
      </c>
      <c r="D1244" s="27" t="n">
        <v>6.555</v>
      </c>
      <c r="E1244" s="10" t="n">
        <v>652</v>
      </c>
      <c r="F1244" s="12" t="n">
        <v>71.8</v>
      </c>
      <c r="G1244" s="12" t="n">
        <v>33.7</v>
      </c>
      <c r="H1244" s="10" t="n">
        <v>35</v>
      </c>
      <c r="I1244" s="10" t="n">
        <v>145</v>
      </c>
      <c r="J1244" s="7" t="inlineStr">
        <is>
          <t>NY</t>
        </is>
      </c>
      <c r="K1244" s="7" t="inlineStr">
        <is>
          <t>2-4 Unit</t>
        </is>
      </c>
      <c r="L1244" s="7" t="inlineStr">
        <is>
          <t>Apex Funding</t>
        </is>
      </c>
      <c r="M1244" s="7" t="inlineStr">
        <is>
          <t>Summit Loan Servicing</t>
        </is>
      </c>
    </row>
    <row r="1245">
      <c r="A1245" s="5" t="inlineStr">
        <is>
          <t>L101240</t>
        </is>
      </c>
      <c r="B1245" s="16" t="n">
        <v>379626.55</v>
      </c>
      <c r="C1245" s="16" t="n">
        <v>369088.7</v>
      </c>
      <c r="D1245" s="26" t="n">
        <v>5.73</v>
      </c>
      <c r="E1245" s="6" t="n">
        <v>776</v>
      </c>
      <c r="F1245" s="11" t="n">
        <v>84.2</v>
      </c>
      <c r="G1245" s="11" t="n">
        <v>44.8</v>
      </c>
      <c r="H1245" s="6" t="n">
        <v>25</v>
      </c>
      <c r="I1245" s="6" t="n">
        <v>335</v>
      </c>
      <c r="J1245" s="5" t="inlineStr">
        <is>
          <t>GA</t>
        </is>
      </c>
      <c r="K1245" s="5" t="inlineStr">
        <is>
          <t>SFR</t>
        </is>
      </c>
      <c r="L1245" s="5" t="inlineStr">
        <is>
          <t>Apex Funding</t>
        </is>
      </c>
      <c r="M1245" s="5" t="inlineStr">
        <is>
          <t>Pier Asset Mgmt</t>
        </is>
      </c>
    </row>
    <row r="1246">
      <c r="A1246" s="7" t="inlineStr">
        <is>
          <t>L101241</t>
        </is>
      </c>
      <c r="B1246" s="8" t="n">
        <v>171022.09</v>
      </c>
      <c r="C1246" s="8" t="n">
        <v>164134.29</v>
      </c>
      <c r="D1246" s="27" t="n">
        <v>6.952</v>
      </c>
      <c r="E1246" s="10" t="n">
        <v>668</v>
      </c>
      <c r="F1246" s="12" t="n">
        <v>65.59999999999999</v>
      </c>
      <c r="G1246" s="12" t="n">
        <v>28.5</v>
      </c>
      <c r="H1246" s="10" t="n">
        <v>43</v>
      </c>
      <c r="I1246" s="10" t="n">
        <v>317</v>
      </c>
      <c r="J1246" s="7" t="inlineStr">
        <is>
          <t>TX</t>
        </is>
      </c>
      <c r="K1246" s="7" t="inlineStr">
        <is>
          <t>SFR</t>
        </is>
      </c>
      <c r="L1246" s="7" t="inlineStr">
        <is>
          <t>Highline Capital</t>
        </is>
      </c>
      <c r="M1246" s="7" t="inlineStr">
        <is>
          <t>Pier Asset Mgmt</t>
        </is>
      </c>
    </row>
    <row r="1247">
      <c r="A1247" s="5" t="inlineStr">
        <is>
          <t>L101242</t>
        </is>
      </c>
      <c r="B1247" s="16" t="n">
        <v>437685.18</v>
      </c>
      <c r="C1247" s="16" t="n">
        <v>431461</v>
      </c>
      <c r="D1247" s="26" t="n">
        <v>4.709</v>
      </c>
      <c r="E1247" s="6" t="n">
        <v>729</v>
      </c>
      <c r="F1247" s="11" t="n">
        <v>83.5</v>
      </c>
      <c r="G1247" s="11" t="n">
        <v>39.4</v>
      </c>
      <c r="H1247" s="6" t="n">
        <v>11</v>
      </c>
      <c r="I1247" s="6" t="n">
        <v>349</v>
      </c>
      <c r="J1247" s="5" t="inlineStr">
        <is>
          <t>CA</t>
        </is>
      </c>
      <c r="K1247" s="5" t="inlineStr">
        <is>
          <t>SFR</t>
        </is>
      </c>
      <c r="L1247" s="5" t="inlineStr">
        <is>
          <t>Highline Capital</t>
        </is>
      </c>
      <c r="M1247" s="5" t="inlineStr">
        <is>
          <t>Summit Loan Servicing</t>
        </is>
      </c>
    </row>
    <row r="1248">
      <c r="A1248" s="7" t="inlineStr">
        <is>
          <t>L101243</t>
        </is>
      </c>
      <c r="B1248" s="8" t="n">
        <v>201623.67</v>
      </c>
      <c r="C1248" s="8" t="n">
        <v>199440.36</v>
      </c>
      <c r="D1248" s="27" t="n">
        <v>7.099</v>
      </c>
      <c r="E1248" s="10" t="n">
        <v>729</v>
      </c>
      <c r="F1248" s="12" t="n">
        <v>83.90000000000001</v>
      </c>
      <c r="G1248" s="12" t="n">
        <v>17.3</v>
      </c>
      <c r="H1248" s="10" t="n">
        <v>13</v>
      </c>
      <c r="I1248" s="10" t="n">
        <v>347</v>
      </c>
      <c r="J1248" s="7" t="inlineStr">
        <is>
          <t>GA</t>
        </is>
      </c>
      <c r="K1248" s="7" t="inlineStr">
        <is>
          <t>2-4 Unit</t>
        </is>
      </c>
      <c r="L1248" s="7" t="inlineStr">
        <is>
          <t>Coastal Mortgage Co</t>
        </is>
      </c>
      <c r="M1248" s="7" t="inlineStr">
        <is>
          <t>Summit Loan Servicing</t>
        </is>
      </c>
    </row>
    <row r="1249">
      <c r="A1249" s="5" t="inlineStr">
        <is>
          <t>L101244</t>
        </is>
      </c>
      <c r="B1249" s="16" t="n">
        <v>350005.97</v>
      </c>
      <c r="C1249" s="16" t="n">
        <v>346003.19</v>
      </c>
      <c r="D1249" s="26" t="n">
        <v>6.379</v>
      </c>
      <c r="E1249" s="6" t="n">
        <v>742</v>
      </c>
      <c r="F1249" s="11" t="n">
        <v>86.7</v>
      </c>
      <c r="G1249" s="11" t="n">
        <v>27</v>
      </c>
      <c r="H1249" s="6" t="n">
        <v>12</v>
      </c>
      <c r="I1249" s="6" t="n">
        <v>348</v>
      </c>
      <c r="J1249" s="5" t="inlineStr">
        <is>
          <t>TX</t>
        </is>
      </c>
      <c r="K1249" s="5" t="inlineStr">
        <is>
          <t>SFR</t>
        </is>
      </c>
      <c r="L1249" s="5" t="inlineStr">
        <is>
          <t>Meridian Home Loans</t>
        </is>
      </c>
      <c r="M1249" s="5" t="inlineStr">
        <is>
          <t>Summit Loan Servicing</t>
        </is>
      </c>
    </row>
    <row r="1250">
      <c r="A1250" s="7" t="inlineStr">
        <is>
          <t>L101245</t>
        </is>
      </c>
      <c r="B1250" s="8" t="n">
        <v>248648.45</v>
      </c>
      <c r="C1250" s="8" t="n">
        <v>240603.67</v>
      </c>
      <c r="D1250" s="27" t="n">
        <v>5.962</v>
      </c>
      <c r="E1250" s="10" t="n">
        <v>734</v>
      </c>
      <c r="F1250" s="12" t="n">
        <v>75.7</v>
      </c>
      <c r="G1250" s="12" t="n">
        <v>39.7</v>
      </c>
      <c r="H1250" s="10" t="n">
        <v>30</v>
      </c>
      <c r="I1250" s="10" t="n">
        <v>330</v>
      </c>
      <c r="J1250" s="7" t="inlineStr">
        <is>
          <t>WA</t>
        </is>
      </c>
      <c r="K1250" s="7" t="inlineStr">
        <is>
          <t>SFR</t>
        </is>
      </c>
      <c r="L1250" s="7" t="inlineStr">
        <is>
          <t>Meridian Home Loans</t>
        </is>
      </c>
      <c r="M1250" s="7" t="inlineStr">
        <is>
          <t>Pier Asset Mgmt</t>
        </is>
      </c>
    </row>
    <row r="1251">
      <c r="A1251" s="5" t="inlineStr">
        <is>
          <t>L101246</t>
        </is>
      </c>
      <c r="B1251" s="16" t="n">
        <v>210185.91</v>
      </c>
      <c r="C1251" s="16" t="n">
        <v>208959.92</v>
      </c>
      <c r="D1251" s="26" t="n">
        <v>6.191</v>
      </c>
      <c r="E1251" s="6" t="n">
        <v>669</v>
      </c>
      <c r="F1251" s="11" t="n">
        <v>97</v>
      </c>
      <c r="G1251" s="11" t="n">
        <v>25.5</v>
      </c>
      <c r="H1251" s="6" t="n">
        <v>6</v>
      </c>
      <c r="I1251" s="6" t="n">
        <v>354</v>
      </c>
      <c r="J1251" s="5" t="inlineStr">
        <is>
          <t>WA</t>
        </is>
      </c>
      <c r="K1251" s="5" t="inlineStr">
        <is>
          <t>SFR</t>
        </is>
      </c>
      <c r="L1251" s="5" t="inlineStr">
        <is>
          <t>Highline Capital</t>
        </is>
      </c>
      <c r="M1251" s="5" t="inlineStr">
        <is>
          <t>Summit Loan Servicing</t>
        </is>
      </c>
    </row>
    <row r="1252">
      <c r="A1252" s="7" t="inlineStr">
        <is>
          <t>L101247</t>
        </is>
      </c>
      <c r="B1252" s="8" t="n">
        <v>128966.26</v>
      </c>
      <c r="C1252" s="8" t="n">
        <v>124578.26</v>
      </c>
      <c r="D1252" s="27" t="n">
        <v>6.257</v>
      </c>
      <c r="E1252" s="10" t="n">
        <v>641</v>
      </c>
      <c r="F1252" s="12" t="n">
        <v>86.7</v>
      </c>
      <c r="G1252" s="12" t="n">
        <v>39.4</v>
      </c>
      <c r="H1252" s="10" t="n">
        <v>33</v>
      </c>
      <c r="I1252" s="10" t="n">
        <v>327</v>
      </c>
      <c r="J1252" s="7" t="inlineStr">
        <is>
          <t>NY</t>
        </is>
      </c>
      <c r="K1252" s="7" t="inlineStr">
        <is>
          <t>SFR</t>
        </is>
      </c>
      <c r="L1252" s="7" t="inlineStr">
        <is>
          <t>Highline Capital</t>
        </is>
      </c>
      <c r="M1252" s="7" t="inlineStr">
        <is>
          <t>Northgate Servicing</t>
        </is>
      </c>
    </row>
    <row r="1253">
      <c r="A1253" s="5" t="inlineStr">
        <is>
          <t>L101248</t>
        </is>
      </c>
      <c r="B1253" s="16" t="n">
        <v>228651.07</v>
      </c>
      <c r="C1253" s="16" t="n">
        <v>198407.56</v>
      </c>
      <c r="D1253" s="26" t="n">
        <v>7.568</v>
      </c>
      <c r="E1253" s="6" t="n">
        <v>763</v>
      </c>
      <c r="F1253" s="11" t="n">
        <v>77.90000000000001</v>
      </c>
      <c r="G1253" s="11" t="n">
        <v>43.3</v>
      </c>
      <c r="H1253" s="6" t="n">
        <v>39</v>
      </c>
      <c r="I1253" s="6" t="n">
        <v>141</v>
      </c>
      <c r="J1253" s="5" t="inlineStr">
        <is>
          <t>FL</t>
        </is>
      </c>
      <c r="K1253" s="5" t="inlineStr">
        <is>
          <t>SFR</t>
        </is>
      </c>
      <c r="L1253" s="5" t="inlineStr">
        <is>
          <t>Apex Funding</t>
        </is>
      </c>
      <c r="M1253" s="5" t="inlineStr">
        <is>
          <t>Northgate Servicing</t>
        </is>
      </c>
    </row>
    <row r="1254">
      <c r="A1254" s="7" t="inlineStr">
        <is>
          <t>L101249</t>
        </is>
      </c>
      <c r="B1254" s="8" t="n">
        <v>140676.17</v>
      </c>
      <c r="C1254" s="8" t="n">
        <v>138071.72</v>
      </c>
      <c r="D1254" s="27" t="n">
        <v>9.31</v>
      </c>
      <c r="E1254" s="10" t="n">
        <v>725</v>
      </c>
      <c r="F1254" s="12" t="n">
        <v>63.5</v>
      </c>
      <c r="G1254" s="12" t="n">
        <v>32</v>
      </c>
      <c r="H1254" s="10" t="n">
        <v>32</v>
      </c>
      <c r="I1254" s="10" t="n">
        <v>328</v>
      </c>
      <c r="J1254" s="7" t="inlineStr">
        <is>
          <t>GA</t>
        </is>
      </c>
      <c r="K1254" s="7" t="inlineStr">
        <is>
          <t>SFR</t>
        </is>
      </c>
      <c r="L1254" s="7" t="inlineStr">
        <is>
          <t>Meridian Home Loans</t>
        </is>
      </c>
      <c r="M1254" s="7" t="inlineStr">
        <is>
          <t>Summit Loan Servicing</t>
        </is>
      </c>
    </row>
    <row r="1255">
      <c r="A1255" s="5" t="inlineStr">
        <is>
          <t>L101250</t>
        </is>
      </c>
      <c r="B1255" s="16" t="n">
        <v>340630.89</v>
      </c>
      <c r="C1255" s="16" t="n">
        <v>338827.07</v>
      </c>
      <c r="D1255" s="26" t="n">
        <v>7.498</v>
      </c>
      <c r="E1255" s="6" t="n">
        <v>778</v>
      </c>
      <c r="F1255" s="11" t="n">
        <v>72.8</v>
      </c>
      <c r="G1255" s="11" t="n">
        <v>28.2</v>
      </c>
      <c r="H1255" s="6" t="n">
        <v>7</v>
      </c>
      <c r="I1255" s="6" t="n">
        <v>353</v>
      </c>
      <c r="J1255" s="5" t="inlineStr">
        <is>
          <t>FL</t>
        </is>
      </c>
      <c r="K1255" s="5" t="inlineStr">
        <is>
          <t>SFR</t>
        </is>
      </c>
      <c r="L1255" s="5" t="inlineStr">
        <is>
          <t>Highline Capital</t>
        </is>
      </c>
      <c r="M1255" s="5" t="inlineStr">
        <is>
          <t>Pier Asset Mgmt</t>
        </is>
      </c>
    </row>
    <row r="1256">
      <c r="A1256" s="7" t="inlineStr">
        <is>
          <t>L101251</t>
        </is>
      </c>
      <c r="B1256" s="8" t="n">
        <v>412865.61</v>
      </c>
      <c r="C1256" s="8" t="n">
        <v>402204.32</v>
      </c>
      <c r="D1256" s="27" t="n">
        <v>5.891</v>
      </c>
      <c r="E1256" s="10" t="n">
        <v>713</v>
      </c>
      <c r="F1256" s="12" t="n">
        <v>91.09999999999999</v>
      </c>
      <c r="G1256" s="12" t="n">
        <v>32.2</v>
      </c>
      <c r="H1256" s="10" t="n">
        <v>24</v>
      </c>
      <c r="I1256" s="10" t="n">
        <v>336</v>
      </c>
      <c r="J1256" s="7" t="inlineStr">
        <is>
          <t>OH</t>
        </is>
      </c>
      <c r="K1256" s="7" t="inlineStr">
        <is>
          <t>2-4 Unit</t>
        </is>
      </c>
      <c r="L1256" s="7" t="inlineStr">
        <is>
          <t>Highline Capital</t>
        </is>
      </c>
      <c r="M1256" s="7" t="inlineStr">
        <is>
          <t>Pier Asset Mgmt</t>
        </is>
      </c>
    </row>
    <row r="1257">
      <c r="A1257" s="5" t="inlineStr">
        <is>
          <t>L101252</t>
        </is>
      </c>
      <c r="B1257" s="16" t="n">
        <v>183704.02</v>
      </c>
      <c r="C1257" s="16" t="n">
        <v>179463.64</v>
      </c>
      <c r="D1257" s="26" t="n">
        <v>6.967</v>
      </c>
      <c r="E1257" s="6" t="n">
        <v>638</v>
      </c>
      <c r="F1257" s="11" t="n">
        <v>94.5</v>
      </c>
      <c r="G1257" s="11" t="n">
        <v>28.3</v>
      </c>
      <c r="H1257" s="6" t="n">
        <v>26</v>
      </c>
      <c r="I1257" s="6" t="n">
        <v>334</v>
      </c>
      <c r="J1257" s="5" t="inlineStr">
        <is>
          <t>TX</t>
        </is>
      </c>
      <c r="K1257" s="5" t="inlineStr">
        <is>
          <t>SFR</t>
        </is>
      </c>
      <c r="L1257" s="5" t="inlineStr">
        <is>
          <t>Meridian Home Loans</t>
        </is>
      </c>
      <c r="M1257" s="5" t="inlineStr">
        <is>
          <t>Summit Loan Servicing</t>
        </is>
      </c>
    </row>
    <row r="1258">
      <c r="A1258" s="7" t="inlineStr">
        <is>
          <t>L101253</t>
        </is>
      </c>
      <c r="B1258" s="8" t="n">
        <v>269868.41</v>
      </c>
      <c r="C1258" s="8" t="n">
        <v>265442.36</v>
      </c>
      <c r="D1258" s="27" t="n">
        <v>7.006</v>
      </c>
      <c r="E1258" s="10" t="n">
        <v>768</v>
      </c>
      <c r="F1258" s="12" t="n">
        <v>91.7</v>
      </c>
      <c r="G1258" s="12" t="n">
        <v>35.2</v>
      </c>
      <c r="H1258" s="10" t="n">
        <v>19</v>
      </c>
      <c r="I1258" s="10" t="n">
        <v>341</v>
      </c>
      <c r="J1258" s="7" t="inlineStr">
        <is>
          <t>IL</t>
        </is>
      </c>
      <c r="K1258" s="7" t="inlineStr">
        <is>
          <t>SFR</t>
        </is>
      </c>
      <c r="L1258" s="7" t="inlineStr">
        <is>
          <t>Highline Capital</t>
        </is>
      </c>
      <c r="M1258" s="7" t="inlineStr">
        <is>
          <t>Pier Asset Mgmt</t>
        </is>
      </c>
    </row>
    <row r="1259">
      <c r="A1259" s="5" t="inlineStr">
        <is>
          <t>L101254</t>
        </is>
      </c>
      <c r="B1259" s="16" t="n">
        <v>188360.5</v>
      </c>
      <c r="C1259" s="16" t="n">
        <v>183656.54</v>
      </c>
      <c r="D1259" s="26" t="n">
        <v>5.567</v>
      </c>
      <c r="E1259" s="6" t="n">
        <v>695</v>
      </c>
      <c r="F1259" s="11" t="n">
        <v>83.40000000000001</v>
      </c>
      <c r="G1259" s="11" t="n">
        <v>36.8</v>
      </c>
      <c r="H1259" s="6" t="n">
        <v>22</v>
      </c>
      <c r="I1259" s="6" t="n">
        <v>338</v>
      </c>
      <c r="J1259" s="5" t="inlineStr">
        <is>
          <t>TX</t>
        </is>
      </c>
      <c r="K1259" s="5" t="inlineStr">
        <is>
          <t>SFR</t>
        </is>
      </c>
      <c r="L1259" s="5" t="inlineStr">
        <is>
          <t>Apex Funding</t>
        </is>
      </c>
      <c r="M1259" s="5" t="inlineStr">
        <is>
          <t>Pier Asset Mgmt</t>
        </is>
      </c>
    </row>
    <row r="1260">
      <c r="A1260" s="7" t="inlineStr">
        <is>
          <t>L101255</t>
        </is>
      </c>
      <c r="B1260" s="8" t="n">
        <v>194858.78</v>
      </c>
      <c r="C1260" s="8" t="n">
        <v>186187.04</v>
      </c>
      <c r="D1260" s="27" t="n">
        <v>5.265</v>
      </c>
      <c r="E1260" s="10" t="n">
        <v>734</v>
      </c>
      <c r="F1260" s="12" t="n">
        <v>58.9</v>
      </c>
      <c r="G1260" s="12" t="n">
        <v>33.6</v>
      </c>
      <c r="H1260" s="10" t="n">
        <v>36</v>
      </c>
      <c r="I1260" s="10" t="n">
        <v>324</v>
      </c>
      <c r="J1260" s="7" t="inlineStr">
        <is>
          <t>OH</t>
        </is>
      </c>
      <c r="K1260" s="7" t="inlineStr">
        <is>
          <t>2-4 Unit</t>
        </is>
      </c>
      <c r="L1260" s="7" t="inlineStr">
        <is>
          <t>Highline Capital</t>
        </is>
      </c>
      <c r="M1260" s="7" t="inlineStr">
        <is>
          <t>Pier Asset Mgmt</t>
        </is>
      </c>
    </row>
    <row r="1261">
      <c r="A1261" s="5" t="inlineStr">
        <is>
          <t>L101256</t>
        </is>
      </c>
      <c r="B1261" s="16" t="n">
        <v>318403</v>
      </c>
      <c r="C1261" s="16" t="n">
        <v>271183.08</v>
      </c>
      <c r="D1261" s="26" t="n">
        <v>6.343</v>
      </c>
      <c r="E1261" s="6" t="n">
        <v>679</v>
      </c>
      <c r="F1261" s="11" t="n">
        <v>79.8</v>
      </c>
      <c r="G1261" s="11" t="n">
        <v>49.4</v>
      </c>
      <c r="H1261" s="6" t="n">
        <v>40</v>
      </c>
      <c r="I1261" s="6" t="n">
        <v>140</v>
      </c>
      <c r="J1261" s="5" t="inlineStr">
        <is>
          <t>TX</t>
        </is>
      </c>
      <c r="K1261" s="5" t="inlineStr">
        <is>
          <t>Condo</t>
        </is>
      </c>
      <c r="L1261" s="5" t="inlineStr">
        <is>
          <t>Apex Funding</t>
        </is>
      </c>
      <c r="M1261" s="5" t="inlineStr">
        <is>
          <t>Summit Loan Servicing</t>
        </is>
      </c>
    </row>
    <row r="1262">
      <c r="A1262" s="7" t="inlineStr">
        <is>
          <t>L101257</t>
        </is>
      </c>
      <c r="B1262" s="8" t="n">
        <v>239548.6</v>
      </c>
      <c r="C1262" s="8" t="n">
        <v>236553.75</v>
      </c>
      <c r="D1262" s="27" t="n">
        <v>7.127</v>
      </c>
      <c r="E1262" s="10" t="n">
        <v>805</v>
      </c>
      <c r="F1262" s="12" t="n">
        <v>59.1</v>
      </c>
      <c r="G1262" s="12" t="n">
        <v>30.2</v>
      </c>
      <c r="H1262" s="10" t="n">
        <v>15</v>
      </c>
      <c r="I1262" s="10" t="n">
        <v>345</v>
      </c>
      <c r="J1262" s="7" t="inlineStr">
        <is>
          <t>IL</t>
        </is>
      </c>
      <c r="K1262" s="7" t="inlineStr">
        <is>
          <t>SFR</t>
        </is>
      </c>
      <c r="L1262" s="7" t="inlineStr">
        <is>
          <t>Meridian Home Loans</t>
        </is>
      </c>
      <c r="M1262" s="7" t="inlineStr">
        <is>
          <t>Summit Loan Servicing</t>
        </is>
      </c>
    </row>
    <row r="1263">
      <c r="A1263" s="5" t="inlineStr">
        <is>
          <t>L101258</t>
        </is>
      </c>
      <c r="B1263" s="16" t="n">
        <v>446358.1</v>
      </c>
      <c r="C1263" s="16" t="n">
        <v>437422.56</v>
      </c>
      <c r="D1263" s="26" t="n">
        <v>4.949</v>
      </c>
      <c r="E1263" s="6" t="n">
        <v>667</v>
      </c>
      <c r="F1263" s="11" t="n">
        <v>56.2</v>
      </c>
      <c r="G1263" s="11" t="n">
        <v>47.1</v>
      </c>
      <c r="H1263" s="6" t="n">
        <v>16</v>
      </c>
      <c r="I1263" s="6" t="n">
        <v>344</v>
      </c>
      <c r="J1263" s="5" t="inlineStr">
        <is>
          <t>OH</t>
        </is>
      </c>
      <c r="K1263" s="5" t="inlineStr">
        <is>
          <t>2-4 Unit</t>
        </is>
      </c>
      <c r="L1263" s="5" t="inlineStr">
        <is>
          <t>Apex Funding</t>
        </is>
      </c>
      <c r="M1263" s="5" t="inlineStr">
        <is>
          <t>Summit Loan Servicing</t>
        </is>
      </c>
    </row>
    <row r="1264">
      <c r="A1264" s="7" t="inlineStr">
        <is>
          <t>L101259</t>
        </is>
      </c>
      <c r="B1264" s="8" t="n">
        <v>205092.96</v>
      </c>
      <c r="C1264" s="8" t="n">
        <v>202905.31</v>
      </c>
      <c r="D1264" s="27" t="n">
        <v>5.751</v>
      </c>
      <c r="E1264" s="10" t="n">
        <v>696</v>
      </c>
      <c r="F1264" s="12" t="n">
        <v>76.90000000000001</v>
      </c>
      <c r="G1264" s="12" t="n">
        <v>27.7</v>
      </c>
      <c r="H1264" s="10" t="n">
        <v>10</v>
      </c>
      <c r="I1264" s="10" t="n">
        <v>350</v>
      </c>
      <c r="J1264" s="7" t="inlineStr">
        <is>
          <t>IL</t>
        </is>
      </c>
      <c r="K1264" s="7" t="inlineStr">
        <is>
          <t>SFR</t>
        </is>
      </c>
      <c r="L1264" s="7" t="inlineStr">
        <is>
          <t>Meridian Home Loans</t>
        </is>
      </c>
      <c r="M1264" s="7" t="inlineStr">
        <is>
          <t>Northgate Servicing</t>
        </is>
      </c>
    </row>
    <row r="1265">
      <c r="A1265" s="5" t="inlineStr">
        <is>
          <t>L101260</t>
        </is>
      </c>
      <c r="B1265" s="16" t="n">
        <v>344471.87</v>
      </c>
      <c r="C1265" s="16" t="n">
        <v>338724.01</v>
      </c>
      <c r="D1265" s="26" t="n">
        <v>6.915</v>
      </c>
      <c r="E1265" s="6" t="n">
        <v>721</v>
      </c>
      <c r="F1265" s="11" t="n">
        <v>80.3</v>
      </c>
      <c r="G1265" s="11" t="n">
        <v>36.6</v>
      </c>
      <c r="H1265" s="6" t="n">
        <v>19</v>
      </c>
      <c r="I1265" s="6" t="n">
        <v>341</v>
      </c>
      <c r="J1265" s="5" t="inlineStr">
        <is>
          <t>TX</t>
        </is>
      </c>
      <c r="K1265" s="5" t="inlineStr">
        <is>
          <t>SFR</t>
        </is>
      </c>
      <c r="L1265" s="5" t="inlineStr">
        <is>
          <t>Coastal Mortgage Co</t>
        </is>
      </c>
      <c r="M1265" s="5" t="inlineStr">
        <is>
          <t>Pier Asset Mgmt</t>
        </is>
      </c>
    </row>
    <row r="1266">
      <c r="A1266" s="7" t="inlineStr">
        <is>
          <t>L101261</t>
        </is>
      </c>
      <c r="B1266" s="8" t="n">
        <v>251222.6</v>
      </c>
      <c r="C1266" s="8" t="n">
        <v>244827.74</v>
      </c>
      <c r="D1266" s="27" t="n">
        <v>6.438</v>
      </c>
      <c r="E1266" s="10" t="n">
        <v>655</v>
      </c>
      <c r="F1266" s="12" t="n">
        <v>84.8</v>
      </c>
      <c r="G1266" s="12" t="n">
        <v>45.5</v>
      </c>
      <c r="H1266" s="10" t="n">
        <v>26</v>
      </c>
      <c r="I1266" s="10" t="n">
        <v>334</v>
      </c>
      <c r="J1266" s="7" t="inlineStr">
        <is>
          <t>TX</t>
        </is>
      </c>
      <c r="K1266" s="7" t="inlineStr">
        <is>
          <t>Condo</t>
        </is>
      </c>
      <c r="L1266" s="7" t="inlineStr">
        <is>
          <t>Highline Capital</t>
        </is>
      </c>
      <c r="M1266" s="7" t="inlineStr">
        <is>
          <t>Pier Asset Mgmt</t>
        </is>
      </c>
    </row>
    <row r="1267">
      <c r="A1267" s="5" t="inlineStr">
        <is>
          <t>L101262</t>
        </is>
      </c>
      <c r="B1267" s="16" t="n">
        <v>320783.69</v>
      </c>
      <c r="C1267" s="16" t="n">
        <v>312084.85</v>
      </c>
      <c r="D1267" s="26" t="n">
        <v>7.675</v>
      </c>
      <c r="E1267" s="6" t="n">
        <v>733</v>
      </c>
      <c r="F1267" s="11" t="n">
        <v>80</v>
      </c>
      <c r="G1267" s="11" t="n">
        <v>45.1</v>
      </c>
      <c r="H1267" s="6" t="n">
        <v>34</v>
      </c>
      <c r="I1267" s="6" t="n">
        <v>326</v>
      </c>
      <c r="J1267" s="5" t="inlineStr">
        <is>
          <t>NC</t>
        </is>
      </c>
      <c r="K1267" s="5" t="inlineStr">
        <is>
          <t>Condo</t>
        </is>
      </c>
      <c r="L1267" s="5" t="inlineStr">
        <is>
          <t>Highline Capital</t>
        </is>
      </c>
      <c r="M1267" s="5" t="inlineStr">
        <is>
          <t>Pier Asset Mgmt</t>
        </is>
      </c>
    </row>
    <row r="1268">
      <c r="A1268" s="7" t="inlineStr">
        <is>
          <t>L101263</t>
        </is>
      </c>
      <c r="B1268" s="8" t="n">
        <v>207626.24</v>
      </c>
      <c r="C1268" s="8" t="n">
        <v>204377.8</v>
      </c>
      <c r="D1268" s="27" t="n">
        <v>5.13</v>
      </c>
      <c r="E1268" s="10" t="n">
        <v>804</v>
      </c>
      <c r="F1268" s="12" t="n">
        <v>80.40000000000001</v>
      </c>
      <c r="G1268" s="12" t="n">
        <v>32.6</v>
      </c>
      <c r="H1268" s="10" t="n">
        <v>13</v>
      </c>
      <c r="I1268" s="10" t="n">
        <v>347</v>
      </c>
      <c r="J1268" s="7" t="inlineStr">
        <is>
          <t>TX</t>
        </is>
      </c>
      <c r="K1268" s="7" t="inlineStr">
        <is>
          <t>SFR</t>
        </is>
      </c>
      <c r="L1268" s="7" t="inlineStr">
        <is>
          <t>Coastal Mortgage Co</t>
        </is>
      </c>
      <c r="M1268" s="7" t="inlineStr">
        <is>
          <t>Northgate Servicing</t>
        </is>
      </c>
    </row>
    <row r="1269">
      <c r="A1269" s="5" t="inlineStr">
        <is>
          <t>L101264</t>
        </is>
      </c>
      <c r="B1269" s="16" t="n">
        <v>238626.39</v>
      </c>
      <c r="C1269" s="16" t="n">
        <v>236984.34</v>
      </c>
      <c r="D1269" s="26" t="n">
        <v>8.516999999999999</v>
      </c>
      <c r="E1269" s="6" t="n">
        <v>688</v>
      </c>
      <c r="F1269" s="11" t="n">
        <v>62.2</v>
      </c>
      <c r="G1269" s="11" t="n">
        <v>40.4</v>
      </c>
      <c r="H1269" s="6" t="n">
        <v>11</v>
      </c>
      <c r="I1269" s="6" t="n">
        <v>349</v>
      </c>
      <c r="J1269" s="5" t="inlineStr">
        <is>
          <t>NY</t>
        </is>
      </c>
      <c r="K1269" s="5" t="inlineStr">
        <is>
          <t>SFR</t>
        </is>
      </c>
      <c r="L1269" s="5" t="inlineStr">
        <is>
          <t>Coastal Mortgage Co</t>
        </is>
      </c>
      <c r="M1269" s="5" t="inlineStr">
        <is>
          <t>Northgate Servicing</t>
        </is>
      </c>
    </row>
    <row r="1270">
      <c r="A1270" s="7" t="inlineStr">
        <is>
          <t>L101265</t>
        </is>
      </c>
      <c r="B1270" s="8" t="n">
        <v>233182.2</v>
      </c>
      <c r="C1270" s="8" t="n">
        <v>232622.33</v>
      </c>
      <c r="D1270" s="27" t="n">
        <v>5.016</v>
      </c>
      <c r="E1270" s="10" t="n">
        <v>737</v>
      </c>
      <c r="F1270" s="12" t="n">
        <v>72.7</v>
      </c>
      <c r="G1270" s="12" t="n">
        <v>39.4</v>
      </c>
      <c r="H1270" s="10" t="n">
        <v>2</v>
      </c>
      <c r="I1270" s="10" t="n">
        <v>358</v>
      </c>
      <c r="J1270" s="7" t="inlineStr">
        <is>
          <t>NC</t>
        </is>
      </c>
      <c r="K1270" s="7" t="inlineStr">
        <is>
          <t>SFR</t>
        </is>
      </c>
      <c r="L1270" s="7" t="inlineStr">
        <is>
          <t>Coastal Mortgage Co</t>
        </is>
      </c>
      <c r="M1270" s="7" t="inlineStr">
        <is>
          <t>Summit Loan Servicing</t>
        </is>
      </c>
    </row>
    <row r="1271">
      <c r="A1271" s="5" t="inlineStr">
        <is>
          <t>L101266</t>
        </is>
      </c>
      <c r="B1271" s="16" t="n">
        <v>181204.23</v>
      </c>
      <c r="C1271" s="16" t="n">
        <v>180018.07</v>
      </c>
      <c r="D1271" s="26" t="n">
        <v>4.574</v>
      </c>
      <c r="E1271" s="6" t="n">
        <v>580</v>
      </c>
      <c r="F1271" s="11" t="n">
        <v>55.9</v>
      </c>
      <c r="G1271" s="11" t="n">
        <v>31.7</v>
      </c>
      <c r="H1271" s="6" t="n">
        <v>5</v>
      </c>
      <c r="I1271" s="6" t="n">
        <v>355</v>
      </c>
      <c r="J1271" s="5" t="inlineStr">
        <is>
          <t>NY</t>
        </is>
      </c>
      <c r="K1271" s="5" t="inlineStr">
        <is>
          <t>SFR</t>
        </is>
      </c>
      <c r="L1271" s="5" t="inlineStr">
        <is>
          <t>Meridian Home Loans</t>
        </is>
      </c>
      <c r="M1271" s="5" t="inlineStr">
        <is>
          <t>Summit Loan Servicing</t>
        </is>
      </c>
    </row>
    <row r="1272">
      <c r="A1272" s="7" t="inlineStr">
        <is>
          <t>L101267</t>
        </is>
      </c>
      <c r="B1272" s="8" t="n">
        <v>306118.8</v>
      </c>
      <c r="C1272" s="8" t="n">
        <v>303037.07</v>
      </c>
      <c r="D1272" s="27" t="n">
        <v>6.347</v>
      </c>
      <c r="E1272" s="10" t="n">
        <v>713</v>
      </c>
      <c r="F1272" s="12" t="n">
        <v>50</v>
      </c>
      <c r="G1272" s="12" t="n">
        <v>40.9</v>
      </c>
      <c r="H1272" s="10" t="n">
        <v>3</v>
      </c>
      <c r="I1272" s="10" t="n">
        <v>177</v>
      </c>
      <c r="J1272" s="7" t="inlineStr">
        <is>
          <t>OH</t>
        </is>
      </c>
      <c r="K1272" s="7" t="inlineStr">
        <is>
          <t>Multifamily</t>
        </is>
      </c>
      <c r="L1272" s="7" t="inlineStr">
        <is>
          <t>Apex Funding</t>
        </is>
      </c>
      <c r="M1272" s="7" t="inlineStr">
        <is>
          <t>Summit Loan Servicing</t>
        </is>
      </c>
    </row>
    <row r="1273">
      <c r="A1273" s="5" t="inlineStr">
        <is>
          <t>L101268</t>
        </is>
      </c>
      <c r="B1273" s="16" t="n">
        <v>304853.66</v>
      </c>
      <c r="C1273" s="16" t="n">
        <v>301370.52</v>
      </c>
      <c r="D1273" s="26" t="n">
        <v>5.379</v>
      </c>
      <c r="E1273" s="6" t="n">
        <v>698</v>
      </c>
      <c r="F1273" s="11" t="n">
        <v>82.90000000000001</v>
      </c>
      <c r="G1273" s="11" t="n">
        <v>50.9</v>
      </c>
      <c r="H1273" s="6" t="n">
        <v>10</v>
      </c>
      <c r="I1273" s="6" t="n">
        <v>350</v>
      </c>
      <c r="J1273" s="5" t="inlineStr">
        <is>
          <t>NC</t>
        </is>
      </c>
      <c r="K1273" s="5" t="inlineStr">
        <is>
          <t>SFR</t>
        </is>
      </c>
      <c r="L1273" s="5" t="inlineStr">
        <is>
          <t>Coastal Mortgage Co</t>
        </is>
      </c>
      <c r="M1273" s="5" t="inlineStr">
        <is>
          <t>Summit Loan Servicing</t>
        </is>
      </c>
    </row>
    <row r="1274">
      <c r="A1274" s="7" t="inlineStr">
        <is>
          <t>L101269</t>
        </is>
      </c>
      <c r="B1274" s="8" t="n">
        <v>298864.07</v>
      </c>
      <c r="C1274" s="8" t="n">
        <v>288890.68</v>
      </c>
      <c r="D1274" s="27" t="n">
        <v>6.365</v>
      </c>
      <c r="E1274" s="10" t="n">
        <v>670</v>
      </c>
      <c r="F1274" s="12" t="n">
        <v>65</v>
      </c>
      <c r="G1274" s="12" t="n">
        <v>39.8</v>
      </c>
      <c r="H1274" s="10" t="n">
        <v>33</v>
      </c>
      <c r="I1274" s="10" t="n">
        <v>327</v>
      </c>
      <c r="J1274" s="7" t="inlineStr">
        <is>
          <t>TX</t>
        </is>
      </c>
      <c r="K1274" s="7" t="inlineStr">
        <is>
          <t>Multifamily</t>
        </is>
      </c>
      <c r="L1274" s="7" t="inlineStr">
        <is>
          <t>Meridian Home Loans</t>
        </is>
      </c>
      <c r="M1274" s="7" t="inlineStr">
        <is>
          <t>Pier Asset Mgmt</t>
        </is>
      </c>
    </row>
    <row r="1275">
      <c r="A1275" s="5" t="inlineStr">
        <is>
          <t>L101270</t>
        </is>
      </c>
      <c r="B1275" s="16" t="n">
        <v>415790.99</v>
      </c>
      <c r="C1275" s="16" t="n">
        <v>399976.13</v>
      </c>
      <c r="D1275" s="26" t="n">
        <v>6.334</v>
      </c>
      <c r="E1275" s="6" t="n">
        <v>774</v>
      </c>
      <c r="F1275" s="11" t="n">
        <v>84.5</v>
      </c>
      <c r="G1275" s="11" t="n">
        <v>40.5</v>
      </c>
      <c r="H1275" s="6" t="n">
        <v>37</v>
      </c>
      <c r="I1275" s="6" t="n">
        <v>323</v>
      </c>
      <c r="J1275" s="5" t="inlineStr">
        <is>
          <t>OH</t>
        </is>
      </c>
      <c r="K1275" s="5" t="inlineStr">
        <is>
          <t>SFR</t>
        </is>
      </c>
      <c r="L1275" s="5" t="inlineStr">
        <is>
          <t>Apex Funding</t>
        </is>
      </c>
      <c r="M1275" s="5" t="inlineStr">
        <is>
          <t>Northgate Servicing</t>
        </is>
      </c>
    </row>
    <row r="1276">
      <c r="A1276" s="7" t="inlineStr">
        <is>
          <t>L101271</t>
        </is>
      </c>
      <c r="B1276" s="8" t="n">
        <v>403233.34</v>
      </c>
      <c r="C1276" s="8" t="n">
        <v>332771.04</v>
      </c>
      <c r="D1276" s="27" t="n">
        <v>6.224</v>
      </c>
      <c r="E1276" s="10" t="n">
        <v>697</v>
      </c>
      <c r="F1276" s="12" t="n">
        <v>87.3</v>
      </c>
      <c r="G1276" s="12" t="n">
        <v>41.4</v>
      </c>
      <c r="H1276" s="10" t="n">
        <v>46</v>
      </c>
      <c r="I1276" s="10" t="n">
        <v>134</v>
      </c>
      <c r="J1276" s="7" t="inlineStr">
        <is>
          <t>WA</t>
        </is>
      </c>
      <c r="K1276" s="7" t="inlineStr">
        <is>
          <t>Condo</t>
        </is>
      </c>
      <c r="L1276" s="7" t="inlineStr">
        <is>
          <t>Apex Funding</t>
        </is>
      </c>
      <c r="M1276" s="7" t="inlineStr">
        <is>
          <t>Pier Asset Mgmt</t>
        </is>
      </c>
    </row>
    <row r="1277">
      <c r="A1277" s="5" t="inlineStr">
        <is>
          <t>L101272</t>
        </is>
      </c>
      <c r="B1277" s="16" t="n">
        <v>212940.78</v>
      </c>
      <c r="C1277" s="16" t="n">
        <v>206680.79</v>
      </c>
      <c r="D1277" s="26" t="n">
        <v>5.642</v>
      </c>
      <c r="E1277" s="6" t="n">
        <v>705</v>
      </c>
      <c r="F1277" s="11" t="n">
        <v>66.59999999999999</v>
      </c>
      <c r="G1277" s="11" t="n">
        <v>24.3</v>
      </c>
      <c r="H1277" s="6" t="n">
        <v>26</v>
      </c>
      <c r="I1277" s="6" t="n">
        <v>334</v>
      </c>
      <c r="J1277" s="5" t="inlineStr">
        <is>
          <t>FL</t>
        </is>
      </c>
      <c r="K1277" s="5" t="inlineStr">
        <is>
          <t>Multifamily</t>
        </is>
      </c>
      <c r="L1277" s="5" t="inlineStr">
        <is>
          <t>Apex Funding</t>
        </is>
      </c>
      <c r="M1277" s="5" t="inlineStr">
        <is>
          <t>Summit Loan Servicing</t>
        </is>
      </c>
    </row>
    <row r="1278">
      <c r="A1278" s="7" t="inlineStr">
        <is>
          <t>L101273</t>
        </is>
      </c>
      <c r="B1278" s="8" t="n">
        <v>276666.56</v>
      </c>
      <c r="C1278" s="8" t="n">
        <v>271145.05</v>
      </c>
      <c r="D1278" s="27" t="n">
        <v>6.789</v>
      </c>
      <c r="E1278" s="10" t="n">
        <v>694</v>
      </c>
      <c r="F1278" s="12" t="n">
        <v>81.09999999999999</v>
      </c>
      <c r="G1278" s="12" t="n">
        <v>39.7</v>
      </c>
      <c r="H1278" s="10" t="n">
        <v>22</v>
      </c>
      <c r="I1278" s="10" t="n">
        <v>338</v>
      </c>
      <c r="J1278" s="7" t="inlineStr">
        <is>
          <t>NY</t>
        </is>
      </c>
      <c r="K1278" s="7" t="inlineStr">
        <is>
          <t>Condo</t>
        </is>
      </c>
      <c r="L1278" s="7" t="inlineStr">
        <is>
          <t>Highline Capital</t>
        </is>
      </c>
      <c r="M1278" s="7" t="inlineStr">
        <is>
          <t>Pier Asset Mgmt</t>
        </is>
      </c>
    </row>
    <row r="1279">
      <c r="A1279" s="5" t="inlineStr">
        <is>
          <t>L101274</t>
        </is>
      </c>
      <c r="B1279" s="16" t="n">
        <v>195192.15</v>
      </c>
      <c r="C1279" s="16" t="n">
        <v>186078.35</v>
      </c>
      <c r="D1279" s="26" t="n">
        <v>6.114</v>
      </c>
      <c r="E1279" s="6" t="n">
        <v>610</v>
      </c>
      <c r="F1279" s="11" t="n">
        <v>66.09999999999999</v>
      </c>
      <c r="G1279" s="11" t="n">
        <v>27.9</v>
      </c>
      <c r="H1279" s="6" t="n">
        <v>43</v>
      </c>
      <c r="I1279" s="6" t="n">
        <v>317</v>
      </c>
      <c r="J1279" s="5" t="inlineStr">
        <is>
          <t>NY</t>
        </is>
      </c>
      <c r="K1279" s="5" t="inlineStr">
        <is>
          <t>SFR</t>
        </is>
      </c>
      <c r="L1279" s="5" t="inlineStr">
        <is>
          <t>Apex Funding</t>
        </is>
      </c>
      <c r="M1279" s="5" t="inlineStr">
        <is>
          <t>Pier Asset Mgmt</t>
        </is>
      </c>
    </row>
    <row r="1280">
      <c r="A1280" s="7" t="inlineStr">
        <is>
          <t>L101275</t>
        </is>
      </c>
      <c r="B1280" s="8" t="n">
        <v>244794.5</v>
      </c>
      <c r="C1280" s="8" t="n">
        <v>243471.03</v>
      </c>
      <c r="D1280" s="27" t="n">
        <v>7.393</v>
      </c>
      <c r="E1280" s="10" t="n">
        <v>653</v>
      </c>
      <c r="F1280" s="12" t="n">
        <v>51.8</v>
      </c>
      <c r="G1280" s="12" t="n">
        <v>31.3</v>
      </c>
      <c r="H1280" s="10" t="n">
        <v>7</v>
      </c>
      <c r="I1280" s="10" t="n">
        <v>353</v>
      </c>
      <c r="J1280" s="7" t="inlineStr">
        <is>
          <t>IL</t>
        </is>
      </c>
      <c r="K1280" s="7" t="inlineStr">
        <is>
          <t>SFR</t>
        </is>
      </c>
      <c r="L1280" s="7" t="inlineStr">
        <is>
          <t>Apex Funding</t>
        </is>
      </c>
      <c r="M1280" s="7" t="inlineStr">
        <is>
          <t>Pier Asset Mgmt</t>
        </is>
      </c>
    </row>
    <row r="1281">
      <c r="A1281" s="5" t="inlineStr">
        <is>
          <t>L101276</t>
        </is>
      </c>
      <c r="B1281" s="16" t="n">
        <v>196828.43</v>
      </c>
      <c r="C1281" s="16" t="n">
        <v>175357.84</v>
      </c>
      <c r="D1281" s="26" t="n">
        <v>6.238</v>
      </c>
      <c r="E1281" s="6" t="n">
        <v>768</v>
      </c>
      <c r="F1281" s="11" t="n">
        <v>75.5</v>
      </c>
      <c r="G1281" s="11" t="n">
        <v>53.3</v>
      </c>
      <c r="H1281" s="6" t="n">
        <v>30</v>
      </c>
      <c r="I1281" s="6" t="n">
        <v>150</v>
      </c>
      <c r="J1281" s="5" t="inlineStr">
        <is>
          <t>IL</t>
        </is>
      </c>
      <c r="K1281" s="5" t="inlineStr">
        <is>
          <t>SFR</t>
        </is>
      </c>
      <c r="L1281" s="5" t="inlineStr">
        <is>
          <t>Meridian Home Loans</t>
        </is>
      </c>
      <c r="M1281" s="5" t="inlineStr">
        <is>
          <t>Northgate Servicing</t>
        </is>
      </c>
    </row>
    <row r="1282">
      <c r="A1282" s="7" t="inlineStr">
        <is>
          <t>L101277</t>
        </is>
      </c>
      <c r="B1282" s="8" t="n">
        <v>428062.55</v>
      </c>
      <c r="C1282" s="8" t="n">
        <v>408214.02</v>
      </c>
      <c r="D1282" s="27" t="n">
        <v>5.532</v>
      </c>
      <c r="E1282" s="10" t="n">
        <v>599</v>
      </c>
      <c r="F1282" s="12" t="n">
        <v>68.3</v>
      </c>
      <c r="G1282" s="12" t="n">
        <v>34</v>
      </c>
      <c r="H1282" s="10" t="n">
        <v>39</v>
      </c>
      <c r="I1282" s="10" t="n">
        <v>321</v>
      </c>
      <c r="J1282" s="7" t="inlineStr">
        <is>
          <t>OH</t>
        </is>
      </c>
      <c r="K1282" s="7" t="inlineStr">
        <is>
          <t>SFR</t>
        </is>
      </c>
      <c r="L1282" s="7" t="inlineStr">
        <is>
          <t>Coastal Mortgage Co</t>
        </is>
      </c>
      <c r="M1282" s="7" t="inlineStr">
        <is>
          <t>Northgate Servicing</t>
        </is>
      </c>
    </row>
    <row r="1283">
      <c r="A1283" s="5" t="inlineStr">
        <is>
          <t>L101278</t>
        </is>
      </c>
      <c r="B1283" s="16" t="n">
        <v>275762.25</v>
      </c>
      <c r="C1283" s="16" t="n">
        <v>267241.68</v>
      </c>
      <c r="D1283" s="26" t="n">
        <v>4.881</v>
      </c>
      <c r="E1283" s="6" t="n">
        <v>673</v>
      </c>
      <c r="F1283" s="11" t="n">
        <v>68.7</v>
      </c>
      <c r="G1283" s="11" t="n">
        <v>30.1</v>
      </c>
      <c r="H1283" s="6" t="n">
        <v>24</v>
      </c>
      <c r="I1283" s="6" t="n">
        <v>336</v>
      </c>
      <c r="J1283" s="5" t="inlineStr">
        <is>
          <t>NC</t>
        </is>
      </c>
      <c r="K1283" s="5" t="inlineStr">
        <is>
          <t>Multifamily</t>
        </is>
      </c>
      <c r="L1283" s="5" t="inlineStr">
        <is>
          <t>Coastal Mortgage Co</t>
        </is>
      </c>
      <c r="M1283" s="5" t="inlineStr">
        <is>
          <t>Northgate Servicing</t>
        </is>
      </c>
    </row>
    <row r="1284">
      <c r="A1284" s="7" t="inlineStr">
        <is>
          <t>L101279</t>
        </is>
      </c>
      <c r="B1284" s="8" t="n">
        <v>224962.68</v>
      </c>
      <c r="C1284" s="8" t="n">
        <v>222096.71</v>
      </c>
      <c r="D1284" s="27" t="n">
        <v>6.245</v>
      </c>
      <c r="E1284" s="10" t="n">
        <v>693</v>
      </c>
      <c r="F1284" s="12" t="n">
        <v>97</v>
      </c>
      <c r="G1284" s="12" t="n">
        <v>45.2</v>
      </c>
      <c r="H1284" s="10" t="n">
        <v>13</v>
      </c>
      <c r="I1284" s="10" t="n">
        <v>347</v>
      </c>
      <c r="J1284" s="7" t="inlineStr">
        <is>
          <t>OH</t>
        </is>
      </c>
      <c r="K1284" s="7" t="inlineStr">
        <is>
          <t>SFR</t>
        </is>
      </c>
      <c r="L1284" s="7" t="inlineStr">
        <is>
          <t>Highline Capital</t>
        </is>
      </c>
      <c r="M1284" s="7" t="inlineStr">
        <is>
          <t>Northgate Servicing</t>
        </is>
      </c>
    </row>
    <row r="1285">
      <c r="A1285" s="5" t="inlineStr">
        <is>
          <t>L101280</t>
        </is>
      </c>
      <c r="B1285" s="16" t="n">
        <v>368710.29</v>
      </c>
      <c r="C1285" s="16" t="n">
        <v>355202.67</v>
      </c>
      <c r="D1285" s="26" t="n">
        <v>5.258</v>
      </c>
      <c r="E1285" s="6" t="n">
        <v>811</v>
      </c>
      <c r="F1285" s="11" t="n">
        <v>55.7</v>
      </c>
      <c r="G1285" s="11" t="n">
        <v>28.4</v>
      </c>
      <c r="H1285" s="6" t="n">
        <v>30</v>
      </c>
      <c r="I1285" s="6" t="n">
        <v>330</v>
      </c>
      <c r="J1285" s="5" t="inlineStr">
        <is>
          <t>NY</t>
        </is>
      </c>
      <c r="K1285" s="5" t="inlineStr">
        <is>
          <t>SFR</t>
        </is>
      </c>
      <c r="L1285" s="5" t="inlineStr">
        <is>
          <t>Coastal Mortgage Co</t>
        </is>
      </c>
      <c r="M1285" s="5" t="inlineStr">
        <is>
          <t>Summit Loan Servicing</t>
        </is>
      </c>
    </row>
    <row r="1286">
      <c r="A1286" s="7" t="inlineStr">
        <is>
          <t>L101281</t>
        </is>
      </c>
      <c r="B1286" s="8" t="n">
        <v>113582.49</v>
      </c>
      <c r="C1286" s="8" t="n">
        <v>106726.73</v>
      </c>
      <c r="D1286" s="27" t="n">
        <v>5.185</v>
      </c>
      <c r="E1286" s="10" t="n">
        <v>757</v>
      </c>
      <c r="F1286" s="12" t="n">
        <v>78.59999999999999</v>
      </c>
      <c r="G1286" s="12" t="n">
        <v>32.4</v>
      </c>
      <c r="H1286" s="10" t="n">
        <v>47</v>
      </c>
      <c r="I1286" s="10" t="n">
        <v>313</v>
      </c>
      <c r="J1286" s="7" t="inlineStr">
        <is>
          <t>GA</t>
        </is>
      </c>
      <c r="K1286" s="7" t="inlineStr">
        <is>
          <t>SFR</t>
        </is>
      </c>
      <c r="L1286" s="7" t="inlineStr">
        <is>
          <t>Apex Funding</t>
        </is>
      </c>
      <c r="M1286" s="7" t="inlineStr">
        <is>
          <t>Summit Loan Servicing</t>
        </is>
      </c>
    </row>
    <row r="1287">
      <c r="A1287" s="5" t="inlineStr">
        <is>
          <t>L101282</t>
        </is>
      </c>
      <c r="B1287" s="16" t="n">
        <v>119978.05</v>
      </c>
      <c r="C1287" s="16" t="n">
        <v>118729.65</v>
      </c>
      <c r="D1287" s="26" t="n">
        <v>6.875</v>
      </c>
      <c r="E1287" s="6" t="n">
        <v>684</v>
      </c>
      <c r="F1287" s="11" t="n">
        <v>62.1</v>
      </c>
      <c r="G1287" s="11" t="n">
        <v>46</v>
      </c>
      <c r="H1287" s="6" t="n">
        <v>12</v>
      </c>
      <c r="I1287" s="6" t="n">
        <v>348</v>
      </c>
      <c r="J1287" s="5" t="inlineStr">
        <is>
          <t>TX</t>
        </is>
      </c>
      <c r="K1287" s="5" t="inlineStr">
        <is>
          <t>SFR</t>
        </is>
      </c>
      <c r="L1287" s="5" t="inlineStr">
        <is>
          <t>Apex Funding</t>
        </is>
      </c>
      <c r="M1287" s="5" t="inlineStr">
        <is>
          <t>Northgate Servicing</t>
        </is>
      </c>
    </row>
    <row r="1288">
      <c r="A1288" s="7" t="inlineStr">
        <is>
          <t>L101283</t>
        </is>
      </c>
      <c r="B1288" s="8" t="n">
        <v>320790.5</v>
      </c>
      <c r="C1288" s="8" t="n">
        <v>309412.15</v>
      </c>
      <c r="D1288" s="27" t="n">
        <v>4.8</v>
      </c>
      <c r="E1288" s="10" t="n">
        <v>787</v>
      </c>
      <c r="F1288" s="12" t="n">
        <v>84.90000000000001</v>
      </c>
      <c r="G1288" s="12" t="n">
        <v>36.3</v>
      </c>
      <c r="H1288" s="10" t="n">
        <v>27</v>
      </c>
      <c r="I1288" s="10" t="n">
        <v>333</v>
      </c>
      <c r="J1288" s="7" t="inlineStr">
        <is>
          <t>FL</t>
        </is>
      </c>
      <c r="K1288" s="7" t="inlineStr">
        <is>
          <t>SFR</t>
        </is>
      </c>
      <c r="L1288" s="7" t="inlineStr">
        <is>
          <t>Meridian Home Loans</t>
        </is>
      </c>
      <c r="M1288" s="7" t="inlineStr">
        <is>
          <t>Summit Loan Servicing</t>
        </is>
      </c>
    </row>
    <row r="1289">
      <c r="A1289" s="5" t="inlineStr">
        <is>
          <t>L101284</t>
        </is>
      </c>
      <c r="B1289" s="16" t="n">
        <v>247995.02</v>
      </c>
      <c r="C1289" s="16" t="n">
        <v>245767.44</v>
      </c>
      <c r="D1289" s="26" t="n">
        <v>7.671</v>
      </c>
      <c r="E1289" s="6" t="n">
        <v>674</v>
      </c>
      <c r="F1289" s="11" t="n">
        <v>77.59999999999999</v>
      </c>
      <c r="G1289" s="11" t="n">
        <v>23.5</v>
      </c>
      <c r="H1289" s="6" t="n">
        <v>3</v>
      </c>
      <c r="I1289" s="6" t="n">
        <v>177</v>
      </c>
      <c r="J1289" s="5" t="inlineStr">
        <is>
          <t>GA</t>
        </is>
      </c>
      <c r="K1289" s="5" t="inlineStr">
        <is>
          <t>SFR</t>
        </is>
      </c>
      <c r="L1289" s="5" t="inlineStr">
        <is>
          <t>Highline Capital</t>
        </is>
      </c>
      <c r="M1289" s="5" t="inlineStr">
        <is>
          <t>Summit Loan Servicing</t>
        </is>
      </c>
    </row>
    <row r="1290">
      <c r="A1290" s="7" t="inlineStr">
        <is>
          <t>L101285</t>
        </is>
      </c>
      <c r="B1290" s="8" t="n">
        <v>265045.35</v>
      </c>
      <c r="C1290" s="8" t="n">
        <v>262359.72</v>
      </c>
      <c r="D1290" s="27" t="n">
        <v>6.544</v>
      </c>
      <c r="E1290" s="10" t="n">
        <v>771</v>
      </c>
      <c r="F1290" s="12" t="n">
        <v>78.59999999999999</v>
      </c>
      <c r="G1290" s="12" t="n">
        <v>40.4</v>
      </c>
      <c r="H1290" s="10" t="n">
        <v>11</v>
      </c>
      <c r="I1290" s="10" t="n">
        <v>349</v>
      </c>
      <c r="J1290" s="7" t="inlineStr">
        <is>
          <t>TX</t>
        </is>
      </c>
      <c r="K1290" s="7" t="inlineStr">
        <is>
          <t>Condo</t>
        </is>
      </c>
      <c r="L1290" s="7" t="inlineStr">
        <is>
          <t>Apex Funding</t>
        </is>
      </c>
      <c r="M1290" s="7" t="inlineStr">
        <is>
          <t>Summit Loan Servicing</t>
        </is>
      </c>
    </row>
    <row r="1291">
      <c r="A1291" s="5" t="inlineStr">
        <is>
          <t>L101286</t>
        </is>
      </c>
      <c r="B1291" s="16" t="n">
        <v>152628.38</v>
      </c>
      <c r="C1291" s="16" t="n">
        <v>146850.9</v>
      </c>
      <c r="D1291" s="26" t="n">
        <v>6.361</v>
      </c>
      <c r="E1291" s="6" t="n">
        <v>640</v>
      </c>
      <c r="F1291" s="11" t="n">
        <v>62.7</v>
      </c>
      <c r="G1291" s="11" t="n">
        <v>32.8</v>
      </c>
      <c r="H1291" s="6" t="n">
        <v>37</v>
      </c>
      <c r="I1291" s="6" t="n">
        <v>323</v>
      </c>
      <c r="J1291" s="5" t="inlineStr">
        <is>
          <t>WA</t>
        </is>
      </c>
      <c r="K1291" s="5" t="inlineStr">
        <is>
          <t>SFR</t>
        </is>
      </c>
      <c r="L1291" s="5" t="inlineStr">
        <is>
          <t>Meridian Home Loans</t>
        </is>
      </c>
      <c r="M1291" s="5" t="inlineStr">
        <is>
          <t>Northgate Servicing</t>
        </is>
      </c>
    </row>
    <row r="1292">
      <c r="A1292" s="7" t="inlineStr">
        <is>
          <t>L101287</t>
        </is>
      </c>
      <c r="B1292" s="8" t="n">
        <v>240835.21</v>
      </c>
      <c r="C1292" s="8" t="n">
        <v>234126.7</v>
      </c>
      <c r="D1292" s="27" t="n">
        <v>5.469</v>
      </c>
      <c r="E1292" s="10" t="n">
        <v>774</v>
      </c>
      <c r="F1292" s="12" t="n">
        <v>64.8</v>
      </c>
      <c r="G1292" s="12" t="n">
        <v>48.3</v>
      </c>
      <c r="H1292" s="10" t="n">
        <v>24</v>
      </c>
      <c r="I1292" s="10" t="n">
        <v>336</v>
      </c>
      <c r="J1292" s="7" t="inlineStr">
        <is>
          <t>FL</t>
        </is>
      </c>
      <c r="K1292" s="7" t="inlineStr">
        <is>
          <t>SFR</t>
        </is>
      </c>
      <c r="L1292" s="7" t="inlineStr">
        <is>
          <t>Meridian Home Loans</t>
        </is>
      </c>
      <c r="M1292" s="7" t="inlineStr">
        <is>
          <t>Pier Asset Mgmt</t>
        </is>
      </c>
    </row>
    <row r="1293">
      <c r="A1293" s="5" t="inlineStr">
        <is>
          <t>L101288</t>
        </is>
      </c>
      <c r="B1293" s="16" t="n">
        <v>489543.35</v>
      </c>
      <c r="C1293" s="16" t="n">
        <v>485493.28</v>
      </c>
      <c r="D1293" s="26" t="n">
        <v>7.088</v>
      </c>
      <c r="E1293" s="6" t="n">
        <v>693</v>
      </c>
      <c r="F1293" s="11" t="n">
        <v>85.09999999999999</v>
      </c>
      <c r="G1293" s="11" t="n">
        <v>31.2</v>
      </c>
      <c r="H1293" s="6" t="n">
        <v>10</v>
      </c>
      <c r="I1293" s="6" t="n">
        <v>350</v>
      </c>
      <c r="J1293" s="5" t="inlineStr">
        <is>
          <t>TX</t>
        </is>
      </c>
      <c r="K1293" s="5" t="inlineStr">
        <is>
          <t>SFR</t>
        </is>
      </c>
      <c r="L1293" s="5" t="inlineStr">
        <is>
          <t>Highline Capital</t>
        </is>
      </c>
      <c r="M1293" s="5" t="inlineStr">
        <is>
          <t>Northgate Servicing</t>
        </is>
      </c>
    </row>
    <row r="1294">
      <c r="A1294" s="7" t="inlineStr">
        <is>
          <t>L101289</t>
        </is>
      </c>
      <c r="B1294" s="8" t="n">
        <v>323990.63</v>
      </c>
      <c r="C1294" s="8" t="n">
        <v>319013.78</v>
      </c>
      <c r="D1294" s="27" t="n">
        <v>6.397</v>
      </c>
      <c r="E1294" s="10" t="n">
        <v>658</v>
      </c>
      <c r="F1294" s="12" t="n">
        <v>95.2</v>
      </c>
      <c r="G1294" s="12" t="n">
        <v>44.4</v>
      </c>
      <c r="H1294" s="10" t="n">
        <v>16</v>
      </c>
      <c r="I1294" s="10" t="n">
        <v>344</v>
      </c>
      <c r="J1294" s="7" t="inlineStr">
        <is>
          <t>AZ</t>
        </is>
      </c>
      <c r="K1294" s="7" t="inlineStr">
        <is>
          <t>SFR</t>
        </is>
      </c>
      <c r="L1294" s="7" t="inlineStr">
        <is>
          <t>Coastal Mortgage Co</t>
        </is>
      </c>
      <c r="M1294" s="7" t="inlineStr">
        <is>
          <t>Summit Loan Servicing</t>
        </is>
      </c>
    </row>
    <row r="1295">
      <c r="A1295" s="5" t="inlineStr">
        <is>
          <t>L101290</t>
        </is>
      </c>
      <c r="B1295" s="16" t="n">
        <v>257660.29</v>
      </c>
      <c r="C1295" s="16" t="n">
        <v>256036.84</v>
      </c>
      <c r="D1295" s="26" t="n">
        <v>5.783</v>
      </c>
      <c r="E1295" s="6" t="n">
        <v>703</v>
      </c>
      <c r="F1295" s="11" t="n">
        <v>79.8</v>
      </c>
      <c r="G1295" s="11" t="n">
        <v>50.2</v>
      </c>
      <c r="H1295" s="6" t="n">
        <v>6</v>
      </c>
      <c r="I1295" s="6" t="n">
        <v>354</v>
      </c>
      <c r="J1295" s="5" t="inlineStr">
        <is>
          <t>CA</t>
        </is>
      </c>
      <c r="K1295" s="5" t="inlineStr">
        <is>
          <t>SFR</t>
        </is>
      </c>
      <c r="L1295" s="5" t="inlineStr">
        <is>
          <t>Meridian Home Loans</t>
        </is>
      </c>
      <c r="M1295" s="5" t="inlineStr">
        <is>
          <t>Northgate Servicing</t>
        </is>
      </c>
    </row>
    <row r="1296">
      <c r="A1296" s="7" t="inlineStr">
        <is>
          <t>L101291</t>
        </is>
      </c>
      <c r="B1296" s="8" t="n">
        <v>208215.97</v>
      </c>
      <c r="C1296" s="8" t="n">
        <v>200636.86</v>
      </c>
      <c r="D1296" s="27" t="n">
        <v>6.58</v>
      </c>
      <c r="E1296" s="10" t="n">
        <v>730</v>
      </c>
      <c r="F1296" s="12" t="n">
        <v>63.2</v>
      </c>
      <c r="G1296" s="12" t="n">
        <v>29.2</v>
      </c>
      <c r="H1296" s="10" t="n">
        <v>37</v>
      </c>
      <c r="I1296" s="10" t="n">
        <v>323</v>
      </c>
      <c r="J1296" s="7" t="inlineStr">
        <is>
          <t>NY</t>
        </is>
      </c>
      <c r="K1296" s="7" t="inlineStr">
        <is>
          <t>Condo</t>
        </is>
      </c>
      <c r="L1296" s="7" t="inlineStr">
        <is>
          <t>Apex Funding</t>
        </is>
      </c>
      <c r="M1296" s="7" t="inlineStr">
        <is>
          <t>Northgate Servicing</t>
        </is>
      </c>
    </row>
    <row r="1297">
      <c r="A1297" s="5" t="inlineStr">
        <is>
          <t>L101292</t>
        </is>
      </c>
      <c r="B1297" s="16" t="n">
        <v>211482.92</v>
      </c>
      <c r="C1297" s="16" t="n">
        <v>198693.06</v>
      </c>
      <c r="D1297" s="26" t="n">
        <v>4.885</v>
      </c>
      <c r="E1297" s="6" t="n">
        <v>688</v>
      </c>
      <c r="F1297" s="11" t="n">
        <v>78.09999999999999</v>
      </c>
      <c r="G1297" s="11" t="n">
        <v>34.5</v>
      </c>
      <c r="H1297" s="6" t="n">
        <v>45</v>
      </c>
      <c r="I1297" s="6" t="n">
        <v>315</v>
      </c>
      <c r="J1297" s="5" t="inlineStr">
        <is>
          <t>TX</t>
        </is>
      </c>
      <c r="K1297" s="5" t="inlineStr">
        <is>
          <t>SFR</t>
        </is>
      </c>
      <c r="L1297" s="5" t="inlineStr">
        <is>
          <t>Meridian Home Loans</t>
        </is>
      </c>
      <c r="M1297" s="5" t="inlineStr">
        <is>
          <t>Northgate Servicing</t>
        </is>
      </c>
    </row>
    <row r="1298">
      <c r="A1298" s="7" t="inlineStr">
        <is>
          <t>L101293</t>
        </is>
      </c>
      <c r="B1298" s="8" t="n">
        <v>115240.99</v>
      </c>
      <c r="C1298" s="8" t="n">
        <v>113054.37</v>
      </c>
      <c r="D1298" s="27" t="n">
        <v>4.928</v>
      </c>
      <c r="E1298" s="10" t="n">
        <v>745</v>
      </c>
      <c r="F1298" s="12" t="n">
        <v>97</v>
      </c>
      <c r="G1298" s="12" t="n">
        <v>39.1</v>
      </c>
      <c r="H1298" s="10" t="n">
        <v>5</v>
      </c>
      <c r="I1298" s="10" t="n">
        <v>175</v>
      </c>
      <c r="J1298" s="7" t="inlineStr">
        <is>
          <t>NC</t>
        </is>
      </c>
      <c r="K1298" s="7" t="inlineStr">
        <is>
          <t>Condo</t>
        </is>
      </c>
      <c r="L1298" s="7" t="inlineStr">
        <is>
          <t>Meridian Home Loans</t>
        </is>
      </c>
      <c r="M1298" s="7" t="inlineStr">
        <is>
          <t>Northgate Servicing</t>
        </is>
      </c>
    </row>
    <row r="1299">
      <c r="A1299" s="5" t="inlineStr">
        <is>
          <t>L101294</t>
        </is>
      </c>
      <c r="B1299" s="16" t="n">
        <v>265713.56</v>
      </c>
      <c r="C1299" s="16" t="n">
        <v>262062.64</v>
      </c>
      <c r="D1299" s="26" t="n">
        <v>5.392</v>
      </c>
      <c r="E1299" s="6" t="n">
        <v>683</v>
      </c>
      <c r="F1299" s="11" t="n">
        <v>75.2</v>
      </c>
      <c r="G1299" s="11" t="n">
        <v>29.1</v>
      </c>
      <c r="H1299" s="6" t="n">
        <v>12</v>
      </c>
      <c r="I1299" s="6" t="n">
        <v>348</v>
      </c>
      <c r="J1299" s="5" t="inlineStr">
        <is>
          <t>OH</t>
        </is>
      </c>
      <c r="K1299" s="5" t="inlineStr">
        <is>
          <t>SFR</t>
        </is>
      </c>
      <c r="L1299" s="5" t="inlineStr">
        <is>
          <t>Highline Capital</t>
        </is>
      </c>
      <c r="M1299" s="5" t="inlineStr">
        <is>
          <t>Northgate Servicing</t>
        </is>
      </c>
    </row>
    <row r="1300">
      <c r="A1300" s="7" t="inlineStr">
        <is>
          <t>L101295</t>
        </is>
      </c>
      <c r="B1300" s="8" t="n">
        <v>326413.12</v>
      </c>
      <c r="C1300" s="8" t="n">
        <v>313413.35</v>
      </c>
      <c r="D1300" s="27" t="n">
        <v>6.715</v>
      </c>
      <c r="E1300" s="10" t="n">
        <v>749</v>
      </c>
      <c r="F1300" s="12" t="n">
        <v>91.5</v>
      </c>
      <c r="G1300" s="12" t="n">
        <v>38.2</v>
      </c>
      <c r="H1300" s="10" t="n">
        <v>41</v>
      </c>
      <c r="I1300" s="10" t="n">
        <v>319</v>
      </c>
      <c r="J1300" s="7" t="inlineStr">
        <is>
          <t>TX</t>
        </is>
      </c>
      <c r="K1300" s="7" t="inlineStr">
        <is>
          <t>SFR</t>
        </is>
      </c>
      <c r="L1300" s="7" t="inlineStr">
        <is>
          <t>Meridian Home Loans</t>
        </is>
      </c>
      <c r="M1300" s="7" t="inlineStr">
        <is>
          <t>Summit Loan Servicing</t>
        </is>
      </c>
    </row>
    <row r="1301">
      <c r="A1301" s="5" t="inlineStr">
        <is>
          <t>L101296</t>
        </is>
      </c>
      <c r="B1301" s="16" t="n">
        <v>139879.03</v>
      </c>
      <c r="C1301" s="16" t="n">
        <v>133824.34</v>
      </c>
      <c r="D1301" s="26" t="n">
        <v>6.397</v>
      </c>
      <c r="E1301" s="6" t="n">
        <v>739</v>
      </c>
      <c r="F1301" s="11" t="n">
        <v>65.09999999999999</v>
      </c>
      <c r="G1301" s="11" t="n">
        <v>34.2</v>
      </c>
      <c r="H1301" s="6" t="n">
        <v>42</v>
      </c>
      <c r="I1301" s="6" t="n">
        <v>318</v>
      </c>
      <c r="J1301" s="5" t="inlineStr">
        <is>
          <t>IL</t>
        </is>
      </c>
      <c r="K1301" s="5" t="inlineStr">
        <is>
          <t>Multifamily</t>
        </is>
      </c>
      <c r="L1301" s="5" t="inlineStr">
        <is>
          <t>Highline Capital</t>
        </is>
      </c>
      <c r="M1301" s="5" t="inlineStr">
        <is>
          <t>Pier Asset Mgmt</t>
        </is>
      </c>
    </row>
    <row r="1302">
      <c r="A1302" s="7" t="inlineStr">
        <is>
          <t>L101297</t>
        </is>
      </c>
      <c r="B1302" s="8" t="n">
        <v>192625.68</v>
      </c>
      <c r="C1302" s="8" t="n">
        <v>186522.5</v>
      </c>
      <c r="D1302" s="27" t="n">
        <v>7.344</v>
      </c>
      <c r="E1302" s="10" t="n">
        <v>712</v>
      </c>
      <c r="F1302" s="12" t="n">
        <v>73.5</v>
      </c>
      <c r="G1302" s="12" t="n">
        <v>34</v>
      </c>
      <c r="H1302" s="10" t="n">
        <v>37</v>
      </c>
      <c r="I1302" s="10" t="n">
        <v>323</v>
      </c>
      <c r="J1302" s="7" t="inlineStr">
        <is>
          <t>IL</t>
        </is>
      </c>
      <c r="K1302" s="7" t="inlineStr">
        <is>
          <t>Multifamily</t>
        </is>
      </c>
      <c r="L1302" s="7" t="inlineStr">
        <is>
          <t>Apex Funding</t>
        </is>
      </c>
      <c r="M1302" s="7" t="inlineStr">
        <is>
          <t>Northgate Servicing</t>
        </is>
      </c>
    </row>
    <row r="1303">
      <c r="A1303" s="5" t="inlineStr">
        <is>
          <t>L101298</t>
        </is>
      </c>
      <c r="B1303" s="16" t="n">
        <v>161924.81</v>
      </c>
      <c r="C1303" s="16" t="n">
        <v>155501.11</v>
      </c>
      <c r="D1303" s="26" t="n">
        <v>5.572</v>
      </c>
      <c r="E1303" s="6" t="n">
        <v>691</v>
      </c>
      <c r="F1303" s="11" t="n">
        <v>81.40000000000001</v>
      </c>
      <c r="G1303" s="11" t="n">
        <v>36.4</v>
      </c>
      <c r="H1303" s="6" t="n">
        <v>34</v>
      </c>
      <c r="I1303" s="6" t="n">
        <v>326</v>
      </c>
      <c r="J1303" s="5" t="inlineStr">
        <is>
          <t>NC</t>
        </is>
      </c>
      <c r="K1303" s="5" t="inlineStr">
        <is>
          <t>SFR</t>
        </is>
      </c>
      <c r="L1303" s="5" t="inlineStr">
        <is>
          <t>Coastal Mortgage Co</t>
        </is>
      </c>
      <c r="M1303" s="5" t="inlineStr">
        <is>
          <t>Summit Loan Servicing</t>
        </is>
      </c>
    </row>
    <row r="1304">
      <c r="A1304" s="7" t="inlineStr">
        <is>
          <t>L101299</t>
        </is>
      </c>
      <c r="B1304" s="8" t="n">
        <v>173186.98</v>
      </c>
      <c r="C1304" s="8" t="n">
        <v>166534.55</v>
      </c>
      <c r="D1304" s="27" t="n">
        <v>6.917</v>
      </c>
      <c r="E1304" s="10" t="n">
        <v>723</v>
      </c>
      <c r="F1304" s="12" t="n">
        <v>78.8</v>
      </c>
      <c r="G1304" s="12" t="n">
        <v>36.6</v>
      </c>
      <c r="H1304" s="10" t="n">
        <v>41</v>
      </c>
      <c r="I1304" s="10" t="n">
        <v>319</v>
      </c>
      <c r="J1304" s="7" t="inlineStr">
        <is>
          <t>NY</t>
        </is>
      </c>
      <c r="K1304" s="7" t="inlineStr">
        <is>
          <t>Multifamily</t>
        </is>
      </c>
      <c r="L1304" s="7" t="inlineStr">
        <is>
          <t>Coastal Mortgage Co</t>
        </is>
      </c>
      <c r="M1304" s="7" t="inlineStr">
        <is>
          <t>Summit Loan Servicing</t>
        </is>
      </c>
    </row>
    <row r="1305">
      <c r="A1305" s="5" t="inlineStr">
        <is>
          <t>L101300</t>
        </is>
      </c>
      <c r="B1305" s="16" t="n">
        <v>247389.32</v>
      </c>
      <c r="C1305" s="16" t="n">
        <v>243011</v>
      </c>
      <c r="D1305" s="26" t="n">
        <v>6.298</v>
      </c>
      <c r="E1305" s="6" t="n">
        <v>745</v>
      </c>
      <c r="F1305" s="11" t="n">
        <v>64.8</v>
      </c>
      <c r="G1305" s="11" t="n">
        <v>37.3</v>
      </c>
      <c r="H1305" s="6" t="n">
        <v>18</v>
      </c>
      <c r="I1305" s="6" t="n">
        <v>342</v>
      </c>
      <c r="J1305" s="5" t="inlineStr">
        <is>
          <t>GA</t>
        </is>
      </c>
      <c r="K1305" s="5" t="inlineStr">
        <is>
          <t>Condo</t>
        </is>
      </c>
      <c r="L1305" s="5" t="inlineStr">
        <is>
          <t>Coastal Mortgage Co</t>
        </is>
      </c>
      <c r="M1305" s="5" t="inlineStr">
        <is>
          <t>Pier Asset Mgmt</t>
        </is>
      </c>
    </row>
    <row r="1306">
      <c r="A1306" s="7" t="inlineStr">
        <is>
          <t>L101301</t>
        </is>
      </c>
      <c r="B1306" s="8" t="n">
        <v>117062.03</v>
      </c>
      <c r="C1306" s="8" t="n">
        <v>111039.83</v>
      </c>
      <c r="D1306" s="27" t="n">
        <v>5.551</v>
      </c>
      <c r="E1306" s="10" t="n">
        <v>820</v>
      </c>
      <c r="F1306" s="12" t="n">
        <v>64.3</v>
      </c>
      <c r="G1306" s="12" t="n">
        <v>31.2</v>
      </c>
      <c r="H1306" s="10" t="n">
        <v>43</v>
      </c>
      <c r="I1306" s="10" t="n">
        <v>317</v>
      </c>
      <c r="J1306" s="7" t="inlineStr">
        <is>
          <t>GA</t>
        </is>
      </c>
      <c r="K1306" s="7" t="inlineStr">
        <is>
          <t>SFR</t>
        </is>
      </c>
      <c r="L1306" s="7" t="inlineStr">
        <is>
          <t>Apex Funding</t>
        </is>
      </c>
      <c r="M1306" s="7" t="inlineStr">
        <is>
          <t>Northgate Servicing</t>
        </is>
      </c>
    </row>
    <row r="1307">
      <c r="A1307" s="5" t="inlineStr">
        <is>
          <t>L101302</t>
        </is>
      </c>
      <c r="B1307" s="16" t="n">
        <v>301038.86</v>
      </c>
      <c r="C1307" s="16" t="n">
        <v>288791.57</v>
      </c>
      <c r="D1307" s="26" t="n">
        <v>6.747</v>
      </c>
      <c r="E1307" s="6" t="n">
        <v>767</v>
      </c>
      <c r="F1307" s="11" t="n">
        <v>85.90000000000001</v>
      </c>
      <c r="G1307" s="11" t="n">
        <v>31.6</v>
      </c>
      <c r="H1307" s="6" t="n">
        <v>42</v>
      </c>
      <c r="I1307" s="6" t="n">
        <v>318</v>
      </c>
      <c r="J1307" s="5" t="inlineStr">
        <is>
          <t>CA</t>
        </is>
      </c>
      <c r="K1307" s="5" t="inlineStr">
        <is>
          <t>SFR</t>
        </is>
      </c>
      <c r="L1307" s="5" t="inlineStr">
        <is>
          <t>Highline Capital</t>
        </is>
      </c>
      <c r="M1307" s="5" t="inlineStr">
        <is>
          <t>Summit Loan Servicing</t>
        </is>
      </c>
    </row>
    <row r="1308">
      <c r="A1308" s="7" t="inlineStr">
        <is>
          <t>L101303</t>
        </is>
      </c>
      <c r="B1308" s="8" t="n">
        <v>316111.18</v>
      </c>
      <c r="C1308" s="8" t="n">
        <v>312782.3</v>
      </c>
      <c r="D1308" s="27" t="n">
        <v>6.341</v>
      </c>
      <c r="E1308" s="10" t="n">
        <v>769</v>
      </c>
      <c r="F1308" s="12" t="n">
        <v>88.3</v>
      </c>
      <c r="G1308" s="12" t="n">
        <v>35.1</v>
      </c>
      <c r="H1308" s="10" t="n">
        <v>11</v>
      </c>
      <c r="I1308" s="10" t="n">
        <v>349</v>
      </c>
      <c r="J1308" s="7" t="inlineStr">
        <is>
          <t>GA</t>
        </is>
      </c>
      <c r="K1308" s="7" t="inlineStr">
        <is>
          <t>SFR</t>
        </is>
      </c>
      <c r="L1308" s="7" t="inlineStr">
        <is>
          <t>Coastal Mortgage Co</t>
        </is>
      </c>
      <c r="M1308" s="7" t="inlineStr">
        <is>
          <t>Northgate Servicing</t>
        </is>
      </c>
    </row>
    <row r="1309">
      <c r="A1309" s="5" t="inlineStr">
        <is>
          <t>L101304</t>
        </is>
      </c>
      <c r="B1309" s="16" t="n">
        <v>222373.59</v>
      </c>
      <c r="C1309" s="16" t="n">
        <v>221452.92</v>
      </c>
      <c r="D1309" s="26" t="n">
        <v>5.834</v>
      </c>
      <c r="E1309" s="6" t="n">
        <v>820</v>
      </c>
      <c r="F1309" s="11" t="n">
        <v>92.09999999999999</v>
      </c>
      <c r="G1309" s="11" t="n">
        <v>35.6</v>
      </c>
      <c r="H1309" s="6" t="n">
        <v>4</v>
      </c>
      <c r="I1309" s="6" t="n">
        <v>356</v>
      </c>
      <c r="J1309" s="5" t="inlineStr">
        <is>
          <t>GA</t>
        </is>
      </c>
      <c r="K1309" s="5" t="inlineStr">
        <is>
          <t>SFR</t>
        </is>
      </c>
      <c r="L1309" s="5" t="inlineStr">
        <is>
          <t>Apex Funding</t>
        </is>
      </c>
      <c r="M1309" s="5" t="inlineStr">
        <is>
          <t>Northgate Servicing</t>
        </is>
      </c>
    </row>
    <row r="1310">
      <c r="A1310" s="7" t="inlineStr">
        <is>
          <t>L101305</t>
        </is>
      </c>
      <c r="B1310" s="8" t="n">
        <v>101900.49</v>
      </c>
      <c r="C1310" s="8" t="n">
        <v>99413.19</v>
      </c>
      <c r="D1310" s="27" t="n">
        <v>6.438</v>
      </c>
      <c r="E1310" s="10" t="n">
        <v>743</v>
      </c>
      <c r="F1310" s="12" t="n">
        <v>95.59999999999999</v>
      </c>
      <c r="G1310" s="12" t="n">
        <v>32.5</v>
      </c>
      <c r="H1310" s="10" t="n">
        <v>25</v>
      </c>
      <c r="I1310" s="10" t="n">
        <v>335</v>
      </c>
      <c r="J1310" s="7" t="inlineStr">
        <is>
          <t>WA</t>
        </is>
      </c>
      <c r="K1310" s="7" t="inlineStr">
        <is>
          <t>Multifamily</t>
        </is>
      </c>
      <c r="L1310" s="7" t="inlineStr">
        <is>
          <t>Apex Funding</t>
        </is>
      </c>
      <c r="M1310" s="7" t="inlineStr">
        <is>
          <t>Pier Asset Mgmt</t>
        </is>
      </c>
    </row>
    <row r="1311">
      <c r="A1311" s="5" t="inlineStr">
        <is>
          <t>L101306</t>
        </is>
      </c>
      <c r="B1311" s="16" t="n">
        <v>171314.01</v>
      </c>
      <c r="C1311" s="16" t="n">
        <v>164933.56</v>
      </c>
      <c r="D1311" s="26" t="n">
        <v>6.283</v>
      </c>
      <c r="E1311" s="6" t="n">
        <v>742</v>
      </c>
      <c r="F1311" s="11" t="n">
        <v>75.59999999999999</v>
      </c>
      <c r="G1311" s="11" t="n">
        <v>38.6</v>
      </c>
      <c r="H1311" s="6" t="n">
        <v>36</v>
      </c>
      <c r="I1311" s="6" t="n">
        <v>324</v>
      </c>
      <c r="J1311" s="5" t="inlineStr">
        <is>
          <t>GA</t>
        </is>
      </c>
      <c r="K1311" s="5" t="inlineStr">
        <is>
          <t>SFR</t>
        </is>
      </c>
      <c r="L1311" s="5" t="inlineStr">
        <is>
          <t>Meridian Home Loans</t>
        </is>
      </c>
      <c r="M1311" s="5" t="inlineStr">
        <is>
          <t>Northgate Servicing</t>
        </is>
      </c>
    </row>
    <row r="1312">
      <c r="A1312" s="7" t="inlineStr">
        <is>
          <t>L101307</t>
        </is>
      </c>
      <c r="B1312" s="8" t="n">
        <v>373814.77</v>
      </c>
      <c r="C1312" s="8" t="n">
        <v>358119.63</v>
      </c>
      <c r="D1312" s="27" t="n">
        <v>6.262</v>
      </c>
      <c r="E1312" s="10" t="n">
        <v>754</v>
      </c>
      <c r="F1312" s="12" t="n">
        <v>70.3</v>
      </c>
      <c r="G1312" s="12" t="n">
        <v>21.5</v>
      </c>
      <c r="H1312" s="10" t="n">
        <v>40</v>
      </c>
      <c r="I1312" s="10" t="n">
        <v>320</v>
      </c>
      <c r="J1312" s="7" t="inlineStr">
        <is>
          <t>OH</t>
        </is>
      </c>
      <c r="K1312" s="7" t="inlineStr">
        <is>
          <t>SFR</t>
        </is>
      </c>
      <c r="L1312" s="7" t="inlineStr">
        <is>
          <t>Highline Capital</t>
        </is>
      </c>
      <c r="M1312" s="7" t="inlineStr">
        <is>
          <t>Pier Asset Mgmt</t>
        </is>
      </c>
    </row>
    <row r="1313">
      <c r="A1313" s="5" t="inlineStr">
        <is>
          <t>L101308</t>
        </is>
      </c>
      <c r="B1313" s="16" t="n">
        <v>91830.71000000001</v>
      </c>
      <c r="C1313" s="16" t="n">
        <v>89592.28999999999</v>
      </c>
      <c r="D1313" s="26" t="n">
        <v>6.029</v>
      </c>
      <c r="E1313" s="6" t="n">
        <v>660</v>
      </c>
      <c r="F1313" s="11" t="n">
        <v>90.2</v>
      </c>
      <c r="G1313" s="11" t="n">
        <v>30.2</v>
      </c>
      <c r="H1313" s="6" t="n">
        <v>7</v>
      </c>
      <c r="I1313" s="6" t="n">
        <v>173</v>
      </c>
      <c r="J1313" s="5" t="inlineStr">
        <is>
          <t>NY</t>
        </is>
      </c>
      <c r="K1313" s="5" t="inlineStr">
        <is>
          <t>SFR</t>
        </is>
      </c>
      <c r="L1313" s="5" t="inlineStr">
        <is>
          <t>Highline Capital</t>
        </is>
      </c>
      <c r="M1313" s="5" t="inlineStr">
        <is>
          <t>Northgate Servicing</t>
        </is>
      </c>
    </row>
    <row r="1314">
      <c r="A1314" s="7" t="inlineStr">
        <is>
          <t>L101309</t>
        </is>
      </c>
      <c r="B1314" s="8" t="n">
        <v>214994.3</v>
      </c>
      <c r="C1314" s="8" t="n">
        <v>210366.53</v>
      </c>
      <c r="D1314" s="27" t="n">
        <v>5.226</v>
      </c>
      <c r="E1314" s="10" t="n">
        <v>691</v>
      </c>
      <c r="F1314" s="12" t="n">
        <v>82.59999999999999</v>
      </c>
      <c r="G1314" s="12" t="n">
        <v>33.8</v>
      </c>
      <c r="H1314" s="10" t="n">
        <v>18</v>
      </c>
      <c r="I1314" s="10" t="n">
        <v>342</v>
      </c>
      <c r="J1314" s="7" t="inlineStr">
        <is>
          <t>NC</t>
        </is>
      </c>
      <c r="K1314" s="7" t="inlineStr">
        <is>
          <t>SFR</t>
        </is>
      </c>
      <c r="L1314" s="7" t="inlineStr">
        <is>
          <t>Meridian Home Loans</t>
        </is>
      </c>
      <c r="M1314" s="7" t="inlineStr">
        <is>
          <t>Pier Asset Mgmt</t>
        </is>
      </c>
    </row>
    <row r="1315">
      <c r="A1315" s="5" t="inlineStr">
        <is>
          <t>L101310</t>
        </is>
      </c>
      <c r="B1315" s="16" t="n">
        <v>160652.63</v>
      </c>
      <c r="C1315" s="16" t="n">
        <v>154685.32</v>
      </c>
      <c r="D1315" s="26" t="n">
        <v>6.467</v>
      </c>
      <c r="E1315" s="6" t="n">
        <v>687</v>
      </c>
      <c r="F1315" s="11" t="n">
        <v>62.2</v>
      </c>
      <c r="G1315" s="11" t="n">
        <v>29.2</v>
      </c>
      <c r="H1315" s="6" t="n">
        <v>37</v>
      </c>
      <c r="I1315" s="6" t="n">
        <v>323</v>
      </c>
      <c r="J1315" s="5" t="inlineStr">
        <is>
          <t>WA</t>
        </is>
      </c>
      <c r="K1315" s="5" t="inlineStr">
        <is>
          <t>2-4 Unit</t>
        </is>
      </c>
      <c r="L1315" s="5" t="inlineStr">
        <is>
          <t>Coastal Mortgage Co</t>
        </is>
      </c>
      <c r="M1315" s="5" t="inlineStr">
        <is>
          <t>Summit Loan Servicing</t>
        </is>
      </c>
    </row>
    <row r="1316">
      <c r="A1316" s="7" t="inlineStr">
        <is>
          <t>L101311</t>
        </is>
      </c>
      <c r="B1316" s="8" t="n">
        <v>321772.36</v>
      </c>
      <c r="C1316" s="8" t="n">
        <v>320745.82</v>
      </c>
      <c r="D1316" s="27" t="n">
        <v>5.678</v>
      </c>
      <c r="E1316" s="10" t="n">
        <v>751</v>
      </c>
      <c r="F1316" s="12" t="n">
        <v>61.6</v>
      </c>
      <c r="G1316" s="12" t="n">
        <v>49</v>
      </c>
      <c r="H1316" s="10" t="n">
        <v>3</v>
      </c>
      <c r="I1316" s="10" t="n">
        <v>357</v>
      </c>
      <c r="J1316" s="7" t="inlineStr">
        <is>
          <t>TX</t>
        </is>
      </c>
      <c r="K1316" s="7" t="inlineStr">
        <is>
          <t>SFR</t>
        </is>
      </c>
      <c r="L1316" s="7" t="inlineStr">
        <is>
          <t>Highline Capital</t>
        </is>
      </c>
      <c r="M1316" s="7" t="inlineStr">
        <is>
          <t>Northgate Servicing</t>
        </is>
      </c>
    </row>
    <row r="1317">
      <c r="A1317" s="5" t="inlineStr">
        <is>
          <t>L101312</t>
        </is>
      </c>
      <c r="B1317" s="16" t="n">
        <v>191704.45</v>
      </c>
      <c r="C1317" s="16" t="n">
        <v>183979.15</v>
      </c>
      <c r="D1317" s="26" t="n">
        <v>5.482</v>
      </c>
      <c r="E1317" s="6" t="n">
        <v>705</v>
      </c>
      <c r="F1317" s="11" t="n">
        <v>79.90000000000001</v>
      </c>
      <c r="G1317" s="11" t="n">
        <v>36.2</v>
      </c>
      <c r="H1317" s="6" t="n">
        <v>34</v>
      </c>
      <c r="I1317" s="6" t="n">
        <v>326</v>
      </c>
      <c r="J1317" s="5" t="inlineStr">
        <is>
          <t>GA</t>
        </is>
      </c>
      <c r="K1317" s="5" t="inlineStr">
        <is>
          <t>SFR</t>
        </is>
      </c>
      <c r="L1317" s="5" t="inlineStr">
        <is>
          <t>Highline Capital</t>
        </is>
      </c>
      <c r="M1317" s="5" t="inlineStr">
        <is>
          <t>Pier Asset Mgmt</t>
        </is>
      </c>
    </row>
    <row r="1318">
      <c r="A1318" s="7" t="inlineStr">
        <is>
          <t>L101313</t>
        </is>
      </c>
      <c r="B1318" s="8" t="n">
        <v>279675.12</v>
      </c>
      <c r="C1318" s="8" t="n">
        <v>275783.05</v>
      </c>
      <c r="D1318" s="27" t="n">
        <v>6.183</v>
      </c>
      <c r="E1318" s="10" t="n">
        <v>723</v>
      </c>
      <c r="F1318" s="12" t="n">
        <v>71.90000000000001</v>
      </c>
      <c r="G1318" s="12" t="n">
        <v>37.4</v>
      </c>
      <c r="H1318" s="10" t="n">
        <v>14</v>
      </c>
      <c r="I1318" s="10" t="n">
        <v>346</v>
      </c>
      <c r="J1318" s="7" t="inlineStr">
        <is>
          <t>WA</t>
        </is>
      </c>
      <c r="K1318" s="7" t="inlineStr">
        <is>
          <t>SFR</t>
        </is>
      </c>
      <c r="L1318" s="7" t="inlineStr">
        <is>
          <t>Meridian Home Loans</t>
        </is>
      </c>
      <c r="M1318" s="7" t="inlineStr">
        <is>
          <t>Summit Loan Servicing</t>
        </is>
      </c>
    </row>
    <row r="1319">
      <c r="A1319" s="5" t="inlineStr">
        <is>
          <t>L101314</t>
        </is>
      </c>
      <c r="B1319" s="16" t="n">
        <v>295939.74</v>
      </c>
      <c r="C1319" s="16" t="n">
        <v>294076.81</v>
      </c>
      <c r="D1319" s="26" t="n">
        <v>7.061</v>
      </c>
      <c r="E1319" s="6" t="n">
        <v>775</v>
      </c>
      <c r="F1319" s="11" t="n">
        <v>73.7</v>
      </c>
      <c r="G1319" s="11" t="n">
        <v>32.1</v>
      </c>
      <c r="H1319" s="6" t="n">
        <v>2</v>
      </c>
      <c r="I1319" s="6" t="n">
        <v>178</v>
      </c>
      <c r="J1319" s="5" t="inlineStr">
        <is>
          <t>GA</t>
        </is>
      </c>
      <c r="K1319" s="5" t="inlineStr">
        <is>
          <t>Condo</t>
        </is>
      </c>
      <c r="L1319" s="5" t="inlineStr">
        <is>
          <t>Highline Capital</t>
        </is>
      </c>
      <c r="M1319" s="5" t="inlineStr">
        <is>
          <t>Northgate Servicing</t>
        </is>
      </c>
    </row>
    <row r="1320">
      <c r="A1320" s="7" t="inlineStr">
        <is>
          <t>L101315</t>
        </is>
      </c>
      <c r="B1320" s="8" t="n">
        <v>461703.89</v>
      </c>
      <c r="C1320" s="8" t="n">
        <v>456608.57</v>
      </c>
      <c r="D1320" s="27" t="n">
        <v>6.567</v>
      </c>
      <c r="E1320" s="10" t="n">
        <v>762</v>
      </c>
      <c r="F1320" s="12" t="n">
        <v>86.90000000000001</v>
      </c>
      <c r="G1320" s="12" t="n">
        <v>35.9</v>
      </c>
      <c r="H1320" s="10" t="n">
        <v>12</v>
      </c>
      <c r="I1320" s="10" t="n">
        <v>348</v>
      </c>
      <c r="J1320" s="7" t="inlineStr">
        <is>
          <t>OH</t>
        </is>
      </c>
      <c r="K1320" s="7" t="inlineStr">
        <is>
          <t>Condo</t>
        </is>
      </c>
      <c r="L1320" s="7" t="inlineStr">
        <is>
          <t>Coastal Mortgage Co</t>
        </is>
      </c>
      <c r="M1320" s="7" t="inlineStr">
        <is>
          <t>Northgate Servicing</t>
        </is>
      </c>
    </row>
    <row r="1321">
      <c r="A1321" s="5" t="inlineStr">
        <is>
          <t>L101316</t>
        </is>
      </c>
      <c r="B1321" s="16" t="n">
        <v>226153.74</v>
      </c>
      <c r="C1321" s="16" t="n">
        <v>217446.74</v>
      </c>
      <c r="D1321" s="26" t="n">
        <v>5.922</v>
      </c>
      <c r="E1321" s="6" t="n">
        <v>706</v>
      </c>
      <c r="F1321" s="11" t="n">
        <v>83.09999999999999</v>
      </c>
      <c r="G1321" s="11" t="n">
        <v>26.3</v>
      </c>
      <c r="H1321" s="6" t="n">
        <v>35</v>
      </c>
      <c r="I1321" s="6" t="n">
        <v>325</v>
      </c>
      <c r="J1321" s="5" t="inlineStr">
        <is>
          <t>IL</t>
        </is>
      </c>
      <c r="K1321" s="5" t="inlineStr">
        <is>
          <t>Condo</t>
        </is>
      </c>
      <c r="L1321" s="5" t="inlineStr">
        <is>
          <t>Coastal Mortgage Co</t>
        </is>
      </c>
      <c r="M1321" s="5" t="inlineStr">
        <is>
          <t>Pier Asset Mgmt</t>
        </is>
      </c>
    </row>
    <row r="1322">
      <c r="A1322" s="7" t="inlineStr">
        <is>
          <t>L101317</t>
        </is>
      </c>
      <c r="B1322" s="8" t="n">
        <v>276956.44</v>
      </c>
      <c r="C1322" s="8" t="n">
        <v>264194.44</v>
      </c>
      <c r="D1322" s="27" t="n">
        <v>5.886</v>
      </c>
      <c r="E1322" s="10" t="n">
        <v>678</v>
      </c>
      <c r="F1322" s="12" t="n">
        <v>90</v>
      </c>
      <c r="G1322" s="12" t="n">
        <v>34.6</v>
      </c>
      <c r="H1322" s="10" t="n">
        <v>41</v>
      </c>
      <c r="I1322" s="10" t="n">
        <v>319</v>
      </c>
      <c r="J1322" s="7" t="inlineStr">
        <is>
          <t>OH</t>
        </is>
      </c>
      <c r="K1322" s="7" t="inlineStr">
        <is>
          <t>SFR</t>
        </is>
      </c>
      <c r="L1322" s="7" t="inlineStr">
        <is>
          <t>Coastal Mortgage Co</t>
        </is>
      </c>
      <c r="M1322" s="7" t="inlineStr">
        <is>
          <t>Pier Asset Mgmt</t>
        </is>
      </c>
    </row>
    <row r="1323">
      <c r="A1323" s="5" t="inlineStr">
        <is>
          <t>L101318</t>
        </is>
      </c>
      <c r="B1323" s="16" t="n">
        <v>144383.84</v>
      </c>
      <c r="C1323" s="16" t="n">
        <v>143903.65</v>
      </c>
      <c r="D1323" s="26" t="n">
        <v>6.972</v>
      </c>
      <c r="E1323" s="6" t="n">
        <v>777</v>
      </c>
      <c r="F1323" s="11" t="n">
        <v>50.8</v>
      </c>
      <c r="G1323" s="11" t="n">
        <v>28.5</v>
      </c>
      <c r="H1323" s="6" t="n">
        <v>4</v>
      </c>
      <c r="I1323" s="6" t="n">
        <v>356</v>
      </c>
      <c r="J1323" s="5" t="inlineStr">
        <is>
          <t>NC</t>
        </is>
      </c>
      <c r="K1323" s="5" t="inlineStr">
        <is>
          <t>SFR</t>
        </is>
      </c>
      <c r="L1323" s="5" t="inlineStr">
        <is>
          <t>Apex Funding</t>
        </is>
      </c>
      <c r="M1323" s="5" t="inlineStr">
        <is>
          <t>Summit Loan Servicing</t>
        </is>
      </c>
    </row>
    <row r="1324">
      <c r="A1324" s="7" t="inlineStr">
        <is>
          <t>L101319</t>
        </is>
      </c>
      <c r="B1324" s="8" t="n">
        <v>368296.92</v>
      </c>
      <c r="C1324" s="8" t="n">
        <v>356694.82</v>
      </c>
      <c r="D1324" s="27" t="n">
        <v>4.243</v>
      </c>
      <c r="E1324" s="10" t="n">
        <v>758</v>
      </c>
      <c r="F1324" s="12" t="n">
        <v>77</v>
      </c>
      <c r="G1324" s="12" t="n">
        <v>33.8</v>
      </c>
      <c r="H1324" s="10" t="n">
        <v>22</v>
      </c>
      <c r="I1324" s="10" t="n">
        <v>338</v>
      </c>
      <c r="J1324" s="7" t="inlineStr">
        <is>
          <t>IL</t>
        </is>
      </c>
      <c r="K1324" s="7" t="inlineStr">
        <is>
          <t>Condo</t>
        </is>
      </c>
      <c r="L1324" s="7" t="inlineStr">
        <is>
          <t>Meridian Home Loans</t>
        </is>
      </c>
      <c r="M1324" s="7" t="inlineStr">
        <is>
          <t>Summit Loan Servicing</t>
        </is>
      </c>
    </row>
    <row r="1325">
      <c r="A1325" s="5" t="inlineStr">
        <is>
          <t>L101320</t>
        </is>
      </c>
      <c r="B1325" s="16" t="n">
        <v>186059.52</v>
      </c>
      <c r="C1325" s="16" t="n">
        <v>184529.16</v>
      </c>
      <c r="D1325" s="26" t="n">
        <v>7.118</v>
      </c>
      <c r="E1325" s="6" t="n">
        <v>627</v>
      </c>
      <c r="F1325" s="11" t="n">
        <v>82.3</v>
      </c>
      <c r="G1325" s="11" t="n">
        <v>15.5</v>
      </c>
      <c r="H1325" s="6" t="n">
        <v>10</v>
      </c>
      <c r="I1325" s="6" t="n">
        <v>350</v>
      </c>
      <c r="J1325" s="5" t="inlineStr">
        <is>
          <t>FL</t>
        </is>
      </c>
      <c r="K1325" s="5" t="inlineStr">
        <is>
          <t>Condo</t>
        </is>
      </c>
      <c r="L1325" s="5" t="inlineStr">
        <is>
          <t>Apex Funding</t>
        </is>
      </c>
      <c r="M1325" s="5" t="inlineStr">
        <is>
          <t>Pier Asset Mgmt</t>
        </is>
      </c>
    </row>
    <row r="1326">
      <c r="A1326" s="7" t="inlineStr">
        <is>
          <t>L101321</t>
        </is>
      </c>
      <c r="B1326" s="8" t="n">
        <v>199533.22</v>
      </c>
      <c r="C1326" s="8" t="n">
        <v>190646.51</v>
      </c>
      <c r="D1326" s="27" t="n">
        <v>4.713</v>
      </c>
      <c r="E1326" s="10" t="n">
        <v>698</v>
      </c>
      <c r="F1326" s="12" t="n">
        <v>55.7</v>
      </c>
      <c r="G1326" s="12" t="n">
        <v>27</v>
      </c>
      <c r="H1326" s="10" t="n">
        <v>33</v>
      </c>
      <c r="I1326" s="10" t="n">
        <v>327</v>
      </c>
      <c r="J1326" s="7" t="inlineStr">
        <is>
          <t>TX</t>
        </is>
      </c>
      <c r="K1326" s="7" t="inlineStr">
        <is>
          <t>SFR</t>
        </is>
      </c>
      <c r="L1326" s="7" t="inlineStr">
        <is>
          <t>Meridian Home Loans</t>
        </is>
      </c>
      <c r="M1326" s="7" t="inlineStr">
        <is>
          <t>Summit Loan Servicing</t>
        </is>
      </c>
    </row>
    <row r="1327">
      <c r="A1327" s="5" t="inlineStr">
        <is>
          <t>L101322</t>
        </is>
      </c>
      <c r="B1327" s="16" t="n">
        <v>240918.33</v>
      </c>
      <c r="C1327" s="16" t="n">
        <v>205249.69</v>
      </c>
      <c r="D1327" s="26" t="n">
        <v>5.126</v>
      </c>
      <c r="E1327" s="6" t="n">
        <v>724</v>
      </c>
      <c r="F1327" s="11" t="n">
        <v>66.09999999999999</v>
      </c>
      <c r="G1327" s="11" t="n">
        <v>47.7</v>
      </c>
      <c r="H1327" s="6" t="n">
        <v>37</v>
      </c>
      <c r="I1327" s="6" t="n">
        <v>143</v>
      </c>
      <c r="J1327" s="5" t="inlineStr">
        <is>
          <t>FL</t>
        </is>
      </c>
      <c r="K1327" s="5" t="inlineStr">
        <is>
          <t>2-4 Unit</t>
        </is>
      </c>
      <c r="L1327" s="5" t="inlineStr">
        <is>
          <t>Meridian Home Loans</t>
        </is>
      </c>
      <c r="M1327" s="5" t="inlineStr">
        <is>
          <t>Northgate Servicing</t>
        </is>
      </c>
    </row>
    <row r="1328">
      <c r="A1328" s="7" t="inlineStr">
        <is>
          <t>L101323</t>
        </is>
      </c>
      <c r="B1328" s="8" t="n">
        <v>140503.89</v>
      </c>
      <c r="C1328" s="8" t="n">
        <v>133211.41</v>
      </c>
      <c r="D1328" s="27" t="n">
        <v>5.937</v>
      </c>
      <c r="E1328" s="10" t="n">
        <v>758</v>
      </c>
      <c r="F1328" s="12" t="n">
        <v>63.9</v>
      </c>
      <c r="G1328" s="12" t="n">
        <v>42.6</v>
      </c>
      <c r="H1328" s="10" t="n">
        <v>46</v>
      </c>
      <c r="I1328" s="10" t="n">
        <v>314</v>
      </c>
      <c r="J1328" s="7" t="inlineStr">
        <is>
          <t>AZ</t>
        </is>
      </c>
      <c r="K1328" s="7" t="inlineStr">
        <is>
          <t>SFR</t>
        </is>
      </c>
      <c r="L1328" s="7" t="inlineStr">
        <is>
          <t>Highline Capital</t>
        </is>
      </c>
      <c r="M1328" s="7" t="inlineStr">
        <is>
          <t>Pier Asset Mgmt</t>
        </is>
      </c>
    </row>
    <row r="1329">
      <c r="A1329" s="5" t="inlineStr">
        <is>
          <t>L101324</t>
        </is>
      </c>
      <c r="B1329" s="16" t="n">
        <v>263042.14</v>
      </c>
      <c r="C1329" s="16" t="n">
        <v>260089.13</v>
      </c>
      <c r="D1329" s="26" t="n">
        <v>8.353</v>
      </c>
      <c r="E1329" s="6" t="n">
        <v>765</v>
      </c>
      <c r="F1329" s="11" t="n">
        <v>74.3</v>
      </c>
      <c r="G1329" s="11" t="n">
        <v>46.6</v>
      </c>
      <c r="H1329" s="6" t="n">
        <v>17</v>
      </c>
      <c r="I1329" s="6" t="n">
        <v>343</v>
      </c>
      <c r="J1329" s="5" t="inlineStr">
        <is>
          <t>IL</t>
        </is>
      </c>
      <c r="K1329" s="5" t="inlineStr">
        <is>
          <t>SFR</t>
        </is>
      </c>
      <c r="L1329" s="5" t="inlineStr">
        <is>
          <t>Coastal Mortgage Co</t>
        </is>
      </c>
      <c r="M1329" s="5" t="inlineStr">
        <is>
          <t>Pier Asset Mgmt</t>
        </is>
      </c>
    </row>
    <row r="1330">
      <c r="A1330" s="7" t="inlineStr">
        <is>
          <t>L101325</t>
        </is>
      </c>
      <c r="B1330" s="8" t="n">
        <v>340650.8</v>
      </c>
      <c r="C1330" s="8" t="n">
        <v>336993.31</v>
      </c>
      <c r="D1330" s="27" t="n">
        <v>7.91</v>
      </c>
      <c r="E1330" s="10" t="n">
        <v>731</v>
      </c>
      <c r="F1330" s="12" t="n">
        <v>93.5</v>
      </c>
      <c r="G1330" s="12" t="n">
        <v>47.1</v>
      </c>
      <c r="H1330" s="10" t="n">
        <v>15</v>
      </c>
      <c r="I1330" s="10" t="n">
        <v>345</v>
      </c>
      <c r="J1330" s="7" t="inlineStr">
        <is>
          <t>NY</t>
        </is>
      </c>
      <c r="K1330" s="7" t="inlineStr">
        <is>
          <t>Multifamily</t>
        </is>
      </c>
      <c r="L1330" s="7" t="inlineStr">
        <is>
          <t>Highline Capital</t>
        </is>
      </c>
      <c r="M1330" s="7" t="inlineStr">
        <is>
          <t>Pier Asset Mgmt</t>
        </is>
      </c>
    </row>
    <row r="1331">
      <c r="A1331" s="5" t="inlineStr">
        <is>
          <t>L101326</t>
        </is>
      </c>
      <c r="B1331" s="16" t="n">
        <v>269016.19</v>
      </c>
      <c r="C1331" s="16" t="n">
        <v>265593.68</v>
      </c>
      <c r="D1331" s="26" t="n">
        <v>7.036</v>
      </c>
      <c r="E1331" s="6" t="n">
        <v>747</v>
      </c>
      <c r="F1331" s="11" t="n">
        <v>97</v>
      </c>
      <c r="G1331" s="11" t="n">
        <v>41.4</v>
      </c>
      <c r="H1331" s="6" t="n">
        <v>15</v>
      </c>
      <c r="I1331" s="6" t="n">
        <v>345</v>
      </c>
      <c r="J1331" s="5" t="inlineStr">
        <is>
          <t>IL</t>
        </is>
      </c>
      <c r="K1331" s="5" t="inlineStr">
        <is>
          <t>SFR</t>
        </is>
      </c>
      <c r="L1331" s="5" t="inlineStr">
        <is>
          <t>Apex Funding</t>
        </is>
      </c>
      <c r="M1331" s="5" t="inlineStr">
        <is>
          <t>Summit Loan Servicing</t>
        </is>
      </c>
    </row>
    <row r="1332">
      <c r="A1332" s="7" t="inlineStr">
        <is>
          <t>L101327</t>
        </is>
      </c>
      <c r="B1332" s="8" t="n">
        <v>139230.46</v>
      </c>
      <c r="C1332" s="8" t="n">
        <v>134436.72</v>
      </c>
      <c r="D1332" s="27" t="n">
        <v>6.721</v>
      </c>
      <c r="E1332" s="10" t="n">
        <v>719</v>
      </c>
      <c r="F1332" s="12" t="n">
        <v>64.2</v>
      </c>
      <c r="G1332" s="12" t="n">
        <v>32.4</v>
      </c>
      <c r="H1332" s="10" t="n">
        <v>36</v>
      </c>
      <c r="I1332" s="10" t="n">
        <v>324</v>
      </c>
      <c r="J1332" s="7" t="inlineStr">
        <is>
          <t>NY</t>
        </is>
      </c>
      <c r="K1332" s="7" t="inlineStr">
        <is>
          <t>2-4 Unit</t>
        </is>
      </c>
      <c r="L1332" s="7" t="inlineStr">
        <is>
          <t>Highline Capital</t>
        </is>
      </c>
      <c r="M1332" s="7" t="inlineStr">
        <is>
          <t>Summit Loan Servicing</t>
        </is>
      </c>
    </row>
    <row r="1333">
      <c r="A1333" s="5" t="inlineStr">
        <is>
          <t>L101328</t>
        </is>
      </c>
      <c r="B1333" s="16" t="n">
        <v>232504.94</v>
      </c>
      <c r="C1333" s="16" t="n">
        <v>226083.46</v>
      </c>
      <c r="D1333" s="26" t="n">
        <v>4.724</v>
      </c>
      <c r="E1333" s="6" t="n">
        <v>678</v>
      </c>
      <c r="F1333" s="11" t="n">
        <v>80.3</v>
      </c>
      <c r="G1333" s="11" t="n">
        <v>27.7</v>
      </c>
      <c r="H1333" s="6" t="n">
        <v>21</v>
      </c>
      <c r="I1333" s="6" t="n">
        <v>339</v>
      </c>
      <c r="J1333" s="5" t="inlineStr">
        <is>
          <t>OH</t>
        </is>
      </c>
      <c r="K1333" s="5" t="inlineStr">
        <is>
          <t>SFR</t>
        </is>
      </c>
      <c r="L1333" s="5" t="inlineStr">
        <is>
          <t>Meridian Home Loans</t>
        </is>
      </c>
      <c r="M1333" s="5" t="inlineStr">
        <is>
          <t>Summit Loan Servicing</t>
        </is>
      </c>
    </row>
    <row r="1334">
      <c r="A1334" s="7" t="inlineStr">
        <is>
          <t>L101329</t>
        </is>
      </c>
      <c r="B1334" s="8" t="n">
        <v>314805.45</v>
      </c>
      <c r="C1334" s="8" t="n">
        <v>314239.26</v>
      </c>
      <c r="D1334" s="27" t="n">
        <v>6.541</v>
      </c>
      <c r="E1334" s="10" t="n">
        <v>701</v>
      </c>
      <c r="F1334" s="12" t="n">
        <v>80.7</v>
      </c>
      <c r="G1334" s="12" t="n">
        <v>45.2</v>
      </c>
      <c r="H1334" s="10" t="n">
        <v>2</v>
      </c>
      <c r="I1334" s="10" t="n">
        <v>358</v>
      </c>
      <c r="J1334" s="7" t="inlineStr">
        <is>
          <t>NY</t>
        </is>
      </c>
      <c r="K1334" s="7" t="inlineStr">
        <is>
          <t>2-4 Unit</t>
        </is>
      </c>
      <c r="L1334" s="7" t="inlineStr">
        <is>
          <t>Highline Capital</t>
        </is>
      </c>
      <c r="M1334" s="7" t="inlineStr">
        <is>
          <t>Pier Asset Mgmt</t>
        </is>
      </c>
    </row>
    <row r="1335">
      <c r="A1335" s="5" t="inlineStr">
        <is>
          <t>L101330</t>
        </is>
      </c>
      <c r="B1335" s="16" t="n">
        <v>125832.12</v>
      </c>
      <c r="C1335" s="16" t="n">
        <v>119425.41</v>
      </c>
      <c r="D1335" s="26" t="n">
        <v>5.906</v>
      </c>
      <c r="E1335" s="6" t="n">
        <v>716</v>
      </c>
      <c r="F1335" s="11" t="n">
        <v>78.7</v>
      </c>
      <c r="G1335" s="11" t="n">
        <v>36.5</v>
      </c>
      <c r="H1335" s="6" t="n">
        <v>45</v>
      </c>
      <c r="I1335" s="6" t="n">
        <v>315</v>
      </c>
      <c r="J1335" s="5" t="inlineStr">
        <is>
          <t>IL</t>
        </is>
      </c>
      <c r="K1335" s="5" t="inlineStr">
        <is>
          <t>SFR</t>
        </is>
      </c>
      <c r="L1335" s="5" t="inlineStr">
        <is>
          <t>Highline Capital</t>
        </is>
      </c>
      <c r="M1335" s="5" t="inlineStr">
        <is>
          <t>Summit Loan Servicing</t>
        </is>
      </c>
    </row>
    <row r="1336">
      <c r="A1336" s="7" t="inlineStr">
        <is>
          <t>L101331</t>
        </is>
      </c>
      <c r="B1336" s="8" t="n">
        <v>166680.13</v>
      </c>
      <c r="C1336" s="8" t="n">
        <v>165787.5</v>
      </c>
      <c r="D1336" s="27" t="n">
        <v>5.665</v>
      </c>
      <c r="E1336" s="10" t="n">
        <v>713</v>
      </c>
      <c r="F1336" s="12" t="n">
        <v>78.8</v>
      </c>
      <c r="G1336" s="12" t="n">
        <v>55</v>
      </c>
      <c r="H1336" s="10" t="n">
        <v>5</v>
      </c>
      <c r="I1336" s="10" t="n">
        <v>355</v>
      </c>
      <c r="J1336" s="7" t="inlineStr">
        <is>
          <t>GA</t>
        </is>
      </c>
      <c r="K1336" s="7" t="inlineStr">
        <is>
          <t>2-4 Unit</t>
        </is>
      </c>
      <c r="L1336" s="7" t="inlineStr">
        <is>
          <t>Coastal Mortgage Co</t>
        </is>
      </c>
      <c r="M1336" s="7" t="inlineStr">
        <is>
          <t>Northgate Servicing</t>
        </is>
      </c>
    </row>
    <row r="1337">
      <c r="A1337" s="5" t="inlineStr">
        <is>
          <t>L101332</t>
        </is>
      </c>
      <c r="B1337" s="16" t="n">
        <v>329980.97</v>
      </c>
      <c r="C1337" s="16" t="n">
        <v>315305.26</v>
      </c>
      <c r="D1337" s="26" t="n">
        <v>6.539</v>
      </c>
      <c r="E1337" s="6" t="n">
        <v>611</v>
      </c>
      <c r="F1337" s="11" t="n">
        <v>77.59999999999999</v>
      </c>
      <c r="G1337" s="11" t="n">
        <v>33.1</v>
      </c>
      <c r="H1337" s="6" t="n">
        <v>44</v>
      </c>
      <c r="I1337" s="6" t="n">
        <v>316</v>
      </c>
      <c r="J1337" s="5" t="inlineStr">
        <is>
          <t>NC</t>
        </is>
      </c>
      <c r="K1337" s="5" t="inlineStr">
        <is>
          <t>Condo</t>
        </is>
      </c>
      <c r="L1337" s="5" t="inlineStr">
        <is>
          <t>Meridian Home Loans</t>
        </is>
      </c>
      <c r="M1337" s="5" t="inlineStr">
        <is>
          <t>Pier Asset Mgmt</t>
        </is>
      </c>
    </row>
    <row r="1338">
      <c r="A1338" s="7" t="inlineStr">
        <is>
          <t>L101333</t>
        </is>
      </c>
      <c r="B1338" s="8" t="n">
        <v>266874.4</v>
      </c>
      <c r="C1338" s="8" t="n">
        <v>264701.63</v>
      </c>
      <c r="D1338" s="27" t="n">
        <v>5.976</v>
      </c>
      <c r="E1338" s="10" t="n">
        <v>693</v>
      </c>
      <c r="F1338" s="12" t="n">
        <v>94.3</v>
      </c>
      <c r="G1338" s="12" t="n">
        <v>51.8</v>
      </c>
      <c r="H1338" s="10" t="n">
        <v>8</v>
      </c>
      <c r="I1338" s="10" t="n">
        <v>352</v>
      </c>
      <c r="J1338" s="7" t="inlineStr">
        <is>
          <t>NY</t>
        </is>
      </c>
      <c r="K1338" s="7" t="inlineStr">
        <is>
          <t>SFR</t>
        </is>
      </c>
      <c r="L1338" s="7" t="inlineStr">
        <is>
          <t>Meridian Home Loans</t>
        </is>
      </c>
      <c r="M1338" s="7" t="inlineStr">
        <is>
          <t>Northgate Servicing</t>
        </is>
      </c>
    </row>
    <row r="1339">
      <c r="A1339" s="5" t="inlineStr">
        <is>
          <t>L101334</t>
        </is>
      </c>
      <c r="B1339" s="16" t="n">
        <v>280461.03</v>
      </c>
      <c r="C1339" s="16" t="n">
        <v>274242.51</v>
      </c>
      <c r="D1339" s="26" t="n">
        <v>7.182</v>
      </c>
      <c r="E1339" s="6" t="n">
        <v>718</v>
      </c>
      <c r="F1339" s="11" t="n">
        <v>87.2</v>
      </c>
      <c r="G1339" s="11" t="n">
        <v>34.7</v>
      </c>
      <c r="H1339" s="6" t="n">
        <v>26</v>
      </c>
      <c r="I1339" s="6" t="n">
        <v>334</v>
      </c>
      <c r="J1339" s="5" t="inlineStr">
        <is>
          <t>CA</t>
        </is>
      </c>
      <c r="K1339" s="5" t="inlineStr">
        <is>
          <t>SFR</t>
        </is>
      </c>
      <c r="L1339" s="5" t="inlineStr">
        <is>
          <t>Apex Funding</t>
        </is>
      </c>
      <c r="M1339" s="5" t="inlineStr">
        <is>
          <t>Pier Asset Mgmt</t>
        </is>
      </c>
    </row>
    <row r="1340">
      <c r="A1340" s="7" t="inlineStr">
        <is>
          <t>L101335</t>
        </is>
      </c>
      <c r="B1340" s="8" t="n">
        <v>465479.43</v>
      </c>
      <c r="C1340" s="8" t="n">
        <v>456298.86</v>
      </c>
      <c r="D1340" s="27" t="n">
        <v>4.658</v>
      </c>
      <c r="E1340" s="10" t="n">
        <v>700</v>
      </c>
      <c r="F1340" s="12" t="n">
        <v>61.3</v>
      </c>
      <c r="G1340" s="12" t="n">
        <v>46.7</v>
      </c>
      <c r="H1340" s="10" t="n">
        <v>15</v>
      </c>
      <c r="I1340" s="10" t="n">
        <v>345</v>
      </c>
      <c r="J1340" s="7" t="inlineStr">
        <is>
          <t>NC</t>
        </is>
      </c>
      <c r="K1340" s="7" t="inlineStr">
        <is>
          <t>SFR</t>
        </is>
      </c>
      <c r="L1340" s="7" t="inlineStr">
        <is>
          <t>Meridian Home Loans</t>
        </is>
      </c>
      <c r="M1340" s="7" t="inlineStr">
        <is>
          <t>Northgate Servicing</t>
        </is>
      </c>
    </row>
    <row r="1341">
      <c r="A1341" s="5" t="inlineStr">
        <is>
          <t>L101336</t>
        </is>
      </c>
      <c r="B1341" s="16" t="n">
        <v>286070.47</v>
      </c>
      <c r="C1341" s="16" t="n">
        <v>276699.54</v>
      </c>
      <c r="D1341" s="26" t="n">
        <v>6.468</v>
      </c>
      <c r="E1341" s="6" t="n">
        <v>701</v>
      </c>
      <c r="F1341" s="11" t="n">
        <v>83.5</v>
      </c>
      <c r="G1341" s="11" t="n">
        <v>49.6</v>
      </c>
      <c r="H1341" s="6" t="n">
        <v>33</v>
      </c>
      <c r="I1341" s="6" t="n">
        <v>327</v>
      </c>
      <c r="J1341" s="5" t="inlineStr">
        <is>
          <t>GA</t>
        </is>
      </c>
      <c r="K1341" s="5" t="inlineStr">
        <is>
          <t>SFR</t>
        </is>
      </c>
      <c r="L1341" s="5" t="inlineStr">
        <is>
          <t>Meridian Home Loans</t>
        </is>
      </c>
      <c r="M1341" s="5" t="inlineStr">
        <is>
          <t>Northgate Servicing</t>
        </is>
      </c>
    </row>
    <row r="1342">
      <c r="A1342" s="7" t="inlineStr">
        <is>
          <t>L101337</t>
        </is>
      </c>
      <c r="B1342" s="8" t="n">
        <v>305669.83</v>
      </c>
      <c r="C1342" s="8" t="n">
        <v>299173.15</v>
      </c>
      <c r="D1342" s="27" t="n">
        <v>5.609</v>
      </c>
      <c r="E1342" s="10" t="n">
        <v>742</v>
      </c>
      <c r="F1342" s="12" t="n">
        <v>84.7</v>
      </c>
      <c r="G1342" s="12" t="n">
        <v>27.8</v>
      </c>
      <c r="H1342" s="10" t="n">
        <v>19</v>
      </c>
      <c r="I1342" s="10" t="n">
        <v>341</v>
      </c>
      <c r="J1342" s="7" t="inlineStr">
        <is>
          <t>NC</t>
        </is>
      </c>
      <c r="K1342" s="7" t="inlineStr">
        <is>
          <t>Multifamily</t>
        </is>
      </c>
      <c r="L1342" s="7" t="inlineStr">
        <is>
          <t>Apex Funding</t>
        </is>
      </c>
      <c r="M1342" s="7" t="inlineStr">
        <is>
          <t>Pier Asset Mgmt</t>
        </is>
      </c>
    </row>
    <row r="1343">
      <c r="A1343" s="5" t="inlineStr">
        <is>
          <t>L101338</t>
        </is>
      </c>
      <c r="B1343" s="16" t="n">
        <v>627037.0699999999</v>
      </c>
      <c r="C1343" s="16" t="n">
        <v>615377.4</v>
      </c>
      <c r="D1343" s="26" t="n">
        <v>6.031</v>
      </c>
      <c r="E1343" s="6" t="n">
        <v>656</v>
      </c>
      <c r="F1343" s="11" t="n">
        <v>77.8</v>
      </c>
      <c r="G1343" s="11" t="n">
        <v>32.1</v>
      </c>
      <c r="H1343" s="6" t="n">
        <v>18</v>
      </c>
      <c r="I1343" s="6" t="n">
        <v>342</v>
      </c>
      <c r="J1343" s="5" t="inlineStr">
        <is>
          <t>GA</t>
        </is>
      </c>
      <c r="K1343" s="5" t="inlineStr">
        <is>
          <t>SFR</t>
        </is>
      </c>
      <c r="L1343" s="5" t="inlineStr">
        <is>
          <t>Apex Funding</t>
        </is>
      </c>
      <c r="M1343" s="5" t="inlineStr">
        <is>
          <t>Northgate Servicing</t>
        </is>
      </c>
    </row>
    <row r="1344">
      <c r="A1344" s="7" t="inlineStr">
        <is>
          <t>L101339</t>
        </is>
      </c>
      <c r="B1344" s="8" t="n">
        <v>225295.56</v>
      </c>
      <c r="C1344" s="8" t="n">
        <v>220479.18</v>
      </c>
      <c r="D1344" s="27" t="n">
        <v>6.674</v>
      </c>
      <c r="E1344" s="10" t="n">
        <v>625</v>
      </c>
      <c r="F1344" s="12" t="n">
        <v>87.59999999999999</v>
      </c>
      <c r="G1344" s="12" t="n">
        <v>27.7</v>
      </c>
      <c r="H1344" s="10" t="n">
        <v>23</v>
      </c>
      <c r="I1344" s="10" t="n">
        <v>337</v>
      </c>
      <c r="J1344" s="7" t="inlineStr">
        <is>
          <t>GA</t>
        </is>
      </c>
      <c r="K1344" s="7" t="inlineStr">
        <is>
          <t>Condo</t>
        </is>
      </c>
      <c r="L1344" s="7" t="inlineStr">
        <is>
          <t>Highline Capital</t>
        </is>
      </c>
      <c r="M1344" s="7" t="inlineStr">
        <is>
          <t>Summit Loan Servicing</t>
        </is>
      </c>
    </row>
    <row r="1345">
      <c r="A1345" s="5" t="inlineStr">
        <is>
          <t>L101340</t>
        </is>
      </c>
      <c r="B1345" s="16" t="n">
        <v>183641.55</v>
      </c>
      <c r="C1345" s="16" t="n">
        <v>173189.37</v>
      </c>
      <c r="D1345" s="26" t="n">
        <v>5.394</v>
      </c>
      <c r="E1345" s="6" t="n">
        <v>696</v>
      </c>
      <c r="F1345" s="11" t="n">
        <v>76.3</v>
      </c>
      <c r="G1345" s="11" t="n">
        <v>26.2</v>
      </c>
      <c r="H1345" s="6" t="n">
        <v>46</v>
      </c>
      <c r="I1345" s="6" t="n">
        <v>314</v>
      </c>
      <c r="J1345" s="5" t="inlineStr">
        <is>
          <t>WA</t>
        </is>
      </c>
      <c r="K1345" s="5" t="inlineStr">
        <is>
          <t>SFR</t>
        </is>
      </c>
      <c r="L1345" s="5" t="inlineStr">
        <is>
          <t>Highline Capital</t>
        </is>
      </c>
      <c r="M1345" s="5" t="inlineStr">
        <is>
          <t>Northgate Servicing</t>
        </is>
      </c>
    </row>
    <row r="1346">
      <c r="A1346" s="7" t="inlineStr">
        <is>
          <t>L101341</t>
        </is>
      </c>
      <c r="B1346" s="8" t="n">
        <v>282018.72</v>
      </c>
      <c r="C1346" s="8" t="n">
        <v>278895.13</v>
      </c>
      <c r="D1346" s="27" t="n">
        <v>6.548</v>
      </c>
      <c r="E1346" s="10" t="n">
        <v>757</v>
      </c>
      <c r="F1346" s="12" t="n">
        <v>76.40000000000001</v>
      </c>
      <c r="G1346" s="12" t="n">
        <v>41.3</v>
      </c>
      <c r="H1346" s="10" t="n">
        <v>12</v>
      </c>
      <c r="I1346" s="10" t="n">
        <v>348</v>
      </c>
      <c r="J1346" s="7" t="inlineStr">
        <is>
          <t>CA</t>
        </is>
      </c>
      <c r="K1346" s="7" t="inlineStr">
        <is>
          <t>SFR</t>
        </is>
      </c>
      <c r="L1346" s="7" t="inlineStr">
        <is>
          <t>Coastal Mortgage Co</t>
        </is>
      </c>
      <c r="M1346" s="7" t="inlineStr">
        <is>
          <t>Pier Asset Mgmt</t>
        </is>
      </c>
    </row>
    <row r="1347">
      <c r="A1347" s="5" t="inlineStr">
        <is>
          <t>L101342</t>
        </is>
      </c>
      <c r="B1347" s="16" t="n">
        <v>283125.87</v>
      </c>
      <c r="C1347" s="16" t="n">
        <v>280069.12</v>
      </c>
      <c r="D1347" s="26" t="n">
        <v>6.209</v>
      </c>
      <c r="E1347" s="6" t="n">
        <v>808</v>
      </c>
      <c r="F1347" s="11" t="n">
        <v>75.5</v>
      </c>
      <c r="G1347" s="11" t="n">
        <v>34.4</v>
      </c>
      <c r="H1347" s="6" t="n">
        <v>11</v>
      </c>
      <c r="I1347" s="6" t="n">
        <v>349</v>
      </c>
      <c r="J1347" s="5" t="inlineStr">
        <is>
          <t>CA</t>
        </is>
      </c>
      <c r="K1347" s="5" t="inlineStr">
        <is>
          <t>Multifamily</t>
        </is>
      </c>
      <c r="L1347" s="5" t="inlineStr">
        <is>
          <t>Coastal Mortgage Co</t>
        </is>
      </c>
      <c r="M1347" s="5" t="inlineStr">
        <is>
          <t>Pier Asset Mgmt</t>
        </is>
      </c>
    </row>
    <row r="1348">
      <c r="A1348" s="7" t="inlineStr">
        <is>
          <t>L101343</t>
        </is>
      </c>
      <c r="B1348" s="8" t="n">
        <v>201924.59</v>
      </c>
      <c r="C1348" s="8" t="n">
        <v>201083.99</v>
      </c>
      <c r="D1348" s="27" t="n">
        <v>5.805</v>
      </c>
      <c r="E1348" s="10" t="n">
        <v>758</v>
      </c>
      <c r="F1348" s="12" t="n">
        <v>49.8</v>
      </c>
      <c r="G1348" s="12" t="n">
        <v>36.4</v>
      </c>
      <c r="H1348" s="10" t="n">
        <v>4</v>
      </c>
      <c r="I1348" s="10" t="n">
        <v>356</v>
      </c>
      <c r="J1348" s="7" t="inlineStr">
        <is>
          <t>WA</t>
        </is>
      </c>
      <c r="K1348" s="7" t="inlineStr">
        <is>
          <t>SFR</t>
        </is>
      </c>
      <c r="L1348" s="7" t="inlineStr">
        <is>
          <t>Meridian Home Loans</t>
        </is>
      </c>
      <c r="M1348" s="7" t="inlineStr">
        <is>
          <t>Summit Loan Servicing</t>
        </is>
      </c>
    </row>
    <row r="1349">
      <c r="A1349" s="5" t="inlineStr">
        <is>
          <t>L101344</t>
        </is>
      </c>
      <c r="B1349" s="16" t="n">
        <v>169170.28</v>
      </c>
      <c r="C1349" s="16" t="n">
        <v>162718.92</v>
      </c>
      <c r="D1349" s="26" t="n">
        <v>5.976</v>
      </c>
      <c r="E1349" s="6" t="n">
        <v>634</v>
      </c>
      <c r="F1349" s="11" t="n">
        <v>73</v>
      </c>
      <c r="G1349" s="11" t="n">
        <v>40.4</v>
      </c>
      <c r="H1349" s="6" t="n">
        <v>35</v>
      </c>
      <c r="I1349" s="6" t="n">
        <v>325</v>
      </c>
      <c r="J1349" s="5" t="inlineStr">
        <is>
          <t>OH</t>
        </is>
      </c>
      <c r="K1349" s="5" t="inlineStr">
        <is>
          <t>SFR</t>
        </is>
      </c>
      <c r="L1349" s="5" t="inlineStr">
        <is>
          <t>Meridian Home Loans</t>
        </is>
      </c>
      <c r="M1349" s="5" t="inlineStr">
        <is>
          <t>Summit Loan Servicing</t>
        </is>
      </c>
    </row>
    <row r="1350">
      <c r="A1350" s="7" t="inlineStr">
        <is>
          <t>L101345</t>
        </is>
      </c>
      <c r="B1350" s="8" t="n">
        <v>544947.9399999999</v>
      </c>
      <c r="C1350" s="8" t="n">
        <v>527029.1800000001</v>
      </c>
      <c r="D1350" s="27" t="n">
        <v>6.261</v>
      </c>
      <c r="E1350" s="10" t="n">
        <v>702</v>
      </c>
      <c r="F1350" s="12" t="n">
        <v>66</v>
      </c>
      <c r="G1350" s="12" t="n">
        <v>21.1</v>
      </c>
      <c r="H1350" s="10" t="n">
        <v>32</v>
      </c>
      <c r="I1350" s="10" t="n">
        <v>328</v>
      </c>
      <c r="J1350" s="7" t="inlineStr">
        <is>
          <t>IL</t>
        </is>
      </c>
      <c r="K1350" s="7" t="inlineStr">
        <is>
          <t>SFR</t>
        </is>
      </c>
      <c r="L1350" s="7" t="inlineStr">
        <is>
          <t>Coastal Mortgage Co</t>
        </is>
      </c>
      <c r="M1350" s="7" t="inlineStr">
        <is>
          <t>Northgate Servicing</t>
        </is>
      </c>
    </row>
    <row r="1351">
      <c r="A1351" s="5" t="inlineStr">
        <is>
          <t>L101346</t>
        </is>
      </c>
      <c r="B1351" s="16" t="n">
        <v>272228</v>
      </c>
      <c r="C1351" s="16" t="n">
        <v>263343.5</v>
      </c>
      <c r="D1351" s="26" t="n">
        <v>5.709</v>
      </c>
      <c r="E1351" s="6" t="n">
        <v>729</v>
      </c>
      <c r="F1351" s="11" t="n">
        <v>59.8</v>
      </c>
      <c r="G1351" s="11" t="n">
        <v>46.3</v>
      </c>
      <c r="H1351" s="6" t="n">
        <v>29</v>
      </c>
      <c r="I1351" s="6" t="n">
        <v>331</v>
      </c>
      <c r="J1351" s="5" t="inlineStr">
        <is>
          <t>GA</t>
        </is>
      </c>
      <c r="K1351" s="5" t="inlineStr">
        <is>
          <t>SFR</t>
        </is>
      </c>
      <c r="L1351" s="5" t="inlineStr">
        <is>
          <t>Highline Capital</t>
        </is>
      </c>
      <c r="M1351" s="5" t="inlineStr">
        <is>
          <t>Pier Asset Mgmt</t>
        </is>
      </c>
    </row>
    <row r="1352">
      <c r="A1352" s="7" t="inlineStr">
        <is>
          <t>L101347</t>
        </is>
      </c>
      <c r="B1352" s="8" t="n">
        <v>187906.56</v>
      </c>
      <c r="C1352" s="8" t="n">
        <v>187559.65</v>
      </c>
      <c r="D1352" s="27" t="n">
        <v>6.406</v>
      </c>
      <c r="E1352" s="10" t="n">
        <v>725</v>
      </c>
      <c r="F1352" s="12" t="n">
        <v>91.2</v>
      </c>
      <c r="G1352" s="12" t="n">
        <v>33.2</v>
      </c>
      <c r="H1352" s="10" t="n">
        <v>2</v>
      </c>
      <c r="I1352" s="10" t="n">
        <v>358</v>
      </c>
      <c r="J1352" s="7" t="inlineStr">
        <is>
          <t>IL</t>
        </is>
      </c>
      <c r="K1352" s="7" t="inlineStr">
        <is>
          <t>SFR</t>
        </is>
      </c>
      <c r="L1352" s="7" t="inlineStr">
        <is>
          <t>Highline Capital</t>
        </is>
      </c>
      <c r="M1352" s="7" t="inlineStr">
        <is>
          <t>Northgate Servicing</t>
        </is>
      </c>
    </row>
    <row r="1353">
      <c r="A1353" s="5" t="inlineStr">
        <is>
          <t>L101348</t>
        </is>
      </c>
      <c r="B1353" s="16" t="n">
        <v>334561.37</v>
      </c>
      <c r="C1353" s="16" t="n">
        <v>321023.02</v>
      </c>
      <c r="D1353" s="26" t="n">
        <v>6.15</v>
      </c>
      <c r="E1353" s="6" t="n">
        <v>745</v>
      </c>
      <c r="F1353" s="11" t="n">
        <v>80.09999999999999</v>
      </c>
      <c r="G1353" s="11" t="n">
        <v>40.3</v>
      </c>
      <c r="H1353" s="6" t="n">
        <v>38</v>
      </c>
      <c r="I1353" s="6" t="n">
        <v>322</v>
      </c>
      <c r="J1353" s="5" t="inlineStr">
        <is>
          <t>WA</t>
        </is>
      </c>
      <c r="K1353" s="5" t="inlineStr">
        <is>
          <t>Condo</t>
        </is>
      </c>
      <c r="L1353" s="5" t="inlineStr">
        <is>
          <t>Highline Capital</t>
        </is>
      </c>
      <c r="M1353" s="5" t="inlineStr">
        <is>
          <t>Northgate Servicing</t>
        </is>
      </c>
    </row>
    <row r="1354">
      <c r="A1354" s="7" t="inlineStr">
        <is>
          <t>L101349</t>
        </is>
      </c>
      <c r="B1354" s="8" t="n">
        <v>233701.33</v>
      </c>
      <c r="C1354" s="8" t="n">
        <v>223445.32</v>
      </c>
      <c r="D1354" s="27" t="n">
        <v>5.85</v>
      </c>
      <c r="E1354" s="10" t="n">
        <v>665</v>
      </c>
      <c r="F1354" s="12" t="n">
        <v>73.59999999999999</v>
      </c>
      <c r="G1354" s="12" t="n">
        <v>41</v>
      </c>
      <c r="H1354" s="10" t="n">
        <v>39</v>
      </c>
      <c r="I1354" s="10" t="n">
        <v>321</v>
      </c>
      <c r="J1354" s="7" t="inlineStr">
        <is>
          <t>IL</t>
        </is>
      </c>
      <c r="K1354" s="7" t="inlineStr">
        <is>
          <t>SFR</t>
        </is>
      </c>
      <c r="L1354" s="7" t="inlineStr">
        <is>
          <t>Coastal Mortgage Co</t>
        </is>
      </c>
      <c r="M1354" s="7" t="inlineStr">
        <is>
          <t>Pier Asset Mgmt</t>
        </is>
      </c>
    </row>
    <row r="1355">
      <c r="A1355" s="5" t="inlineStr">
        <is>
          <t>L101350</t>
        </is>
      </c>
      <c r="B1355" s="16" t="n">
        <v>222235.19</v>
      </c>
      <c r="C1355" s="16" t="n">
        <v>214194.43</v>
      </c>
      <c r="D1355" s="26" t="n">
        <v>7.831</v>
      </c>
      <c r="E1355" s="6" t="n">
        <v>719</v>
      </c>
      <c r="F1355" s="11" t="n">
        <v>67.2</v>
      </c>
      <c r="G1355" s="11" t="n">
        <v>47</v>
      </c>
      <c r="H1355" s="6" t="n">
        <v>45</v>
      </c>
      <c r="I1355" s="6" t="n">
        <v>315</v>
      </c>
      <c r="J1355" s="5" t="inlineStr">
        <is>
          <t>AZ</t>
        </is>
      </c>
      <c r="K1355" s="5" t="inlineStr">
        <is>
          <t>2-4 Unit</t>
        </is>
      </c>
      <c r="L1355" s="5" t="inlineStr">
        <is>
          <t>Apex Funding</t>
        </is>
      </c>
      <c r="M1355" s="5" t="inlineStr">
        <is>
          <t>Northgate Servicing</t>
        </is>
      </c>
    </row>
    <row r="1356">
      <c r="A1356" s="7" t="inlineStr">
        <is>
          <t>L101351</t>
        </is>
      </c>
      <c r="B1356" s="8" t="n">
        <v>295609.77</v>
      </c>
      <c r="C1356" s="8" t="n">
        <v>282997.5</v>
      </c>
      <c r="D1356" s="27" t="n">
        <v>6.774</v>
      </c>
      <c r="E1356" s="10" t="n">
        <v>738</v>
      </c>
      <c r="F1356" s="12" t="n">
        <v>77.59999999999999</v>
      </c>
      <c r="G1356" s="12" t="n">
        <v>35.2</v>
      </c>
      <c r="H1356" s="10" t="n">
        <v>44</v>
      </c>
      <c r="I1356" s="10" t="n">
        <v>316</v>
      </c>
      <c r="J1356" s="7" t="inlineStr">
        <is>
          <t>NY</t>
        </is>
      </c>
      <c r="K1356" s="7" t="inlineStr">
        <is>
          <t>SFR</t>
        </is>
      </c>
      <c r="L1356" s="7" t="inlineStr">
        <is>
          <t>Apex Funding</t>
        </is>
      </c>
      <c r="M1356" s="7" t="inlineStr">
        <is>
          <t>Pier Asset Mgmt</t>
        </is>
      </c>
    </row>
    <row r="1357">
      <c r="A1357" s="5" t="inlineStr">
        <is>
          <t>L101352</t>
        </is>
      </c>
      <c r="B1357" s="16" t="n">
        <v>154483.29</v>
      </c>
      <c r="C1357" s="16" t="n">
        <v>147398.57</v>
      </c>
      <c r="D1357" s="26" t="n">
        <v>6.056</v>
      </c>
      <c r="E1357" s="6" t="n">
        <v>760</v>
      </c>
      <c r="F1357" s="11" t="n">
        <v>85.90000000000001</v>
      </c>
      <c r="G1357" s="11" t="n">
        <v>19</v>
      </c>
      <c r="H1357" s="6" t="n">
        <v>13</v>
      </c>
      <c r="I1357" s="6" t="n">
        <v>167</v>
      </c>
      <c r="J1357" s="5" t="inlineStr">
        <is>
          <t>NY</t>
        </is>
      </c>
      <c r="K1357" s="5" t="inlineStr">
        <is>
          <t>SFR</t>
        </is>
      </c>
      <c r="L1357" s="5" t="inlineStr">
        <is>
          <t>Meridian Home Loans</t>
        </is>
      </c>
      <c r="M1357" s="5" t="inlineStr">
        <is>
          <t>Northgate Servicing</t>
        </is>
      </c>
    </row>
    <row r="1358">
      <c r="A1358" s="7" t="inlineStr">
        <is>
          <t>L101353</t>
        </is>
      </c>
      <c r="B1358" s="8" t="n">
        <v>274695.78</v>
      </c>
      <c r="C1358" s="8" t="n">
        <v>265504.03</v>
      </c>
      <c r="D1358" s="27" t="n">
        <v>6.531</v>
      </c>
      <c r="E1358" s="10" t="n">
        <v>671</v>
      </c>
      <c r="F1358" s="12" t="n">
        <v>64.09999999999999</v>
      </c>
      <c r="G1358" s="12" t="n">
        <v>36.5</v>
      </c>
      <c r="H1358" s="10" t="n">
        <v>34</v>
      </c>
      <c r="I1358" s="10" t="n">
        <v>326</v>
      </c>
      <c r="J1358" s="7" t="inlineStr">
        <is>
          <t>NC</t>
        </is>
      </c>
      <c r="K1358" s="7" t="inlineStr">
        <is>
          <t>SFR</t>
        </is>
      </c>
      <c r="L1358" s="7" t="inlineStr">
        <is>
          <t>Coastal Mortgage Co</t>
        </is>
      </c>
      <c r="M1358" s="7" t="inlineStr">
        <is>
          <t>Pier Asset Mgmt</t>
        </is>
      </c>
    </row>
    <row r="1359">
      <c r="A1359" s="5" t="inlineStr">
        <is>
          <t>L101354</t>
        </is>
      </c>
      <c r="B1359" s="16" t="n">
        <v>474271.01</v>
      </c>
      <c r="C1359" s="16" t="n">
        <v>463945.55</v>
      </c>
      <c r="D1359" s="26" t="n">
        <v>5.476</v>
      </c>
      <c r="E1359" s="6" t="n">
        <v>696</v>
      </c>
      <c r="F1359" s="11" t="n">
        <v>73.90000000000001</v>
      </c>
      <c r="G1359" s="11" t="n">
        <v>37.6</v>
      </c>
      <c r="H1359" s="6" t="n">
        <v>19</v>
      </c>
      <c r="I1359" s="6" t="n">
        <v>341</v>
      </c>
      <c r="J1359" s="5" t="inlineStr">
        <is>
          <t>NY</t>
        </is>
      </c>
      <c r="K1359" s="5" t="inlineStr">
        <is>
          <t>SFR</t>
        </is>
      </c>
      <c r="L1359" s="5" t="inlineStr">
        <is>
          <t>Apex Funding</t>
        </is>
      </c>
      <c r="M1359" s="5" t="inlineStr">
        <is>
          <t>Summit Loan Servicing</t>
        </is>
      </c>
    </row>
    <row r="1360">
      <c r="A1360" s="7" t="inlineStr">
        <is>
          <t>L101355</t>
        </is>
      </c>
      <c r="B1360" s="8" t="n">
        <v>285832.77</v>
      </c>
      <c r="C1360" s="8" t="n">
        <v>276987.5</v>
      </c>
      <c r="D1360" s="27" t="n">
        <v>6.007</v>
      </c>
      <c r="E1360" s="10" t="n">
        <v>580</v>
      </c>
      <c r="F1360" s="12" t="n">
        <v>84.40000000000001</v>
      </c>
      <c r="G1360" s="12" t="n">
        <v>27.7</v>
      </c>
      <c r="H1360" s="10" t="n">
        <v>29</v>
      </c>
      <c r="I1360" s="10" t="n">
        <v>331</v>
      </c>
      <c r="J1360" s="7" t="inlineStr">
        <is>
          <t>CA</t>
        </is>
      </c>
      <c r="K1360" s="7" t="inlineStr">
        <is>
          <t>Condo</t>
        </is>
      </c>
      <c r="L1360" s="7" t="inlineStr">
        <is>
          <t>Coastal Mortgage Co</t>
        </is>
      </c>
      <c r="M1360" s="7" t="inlineStr">
        <is>
          <t>Pier Asset Mgmt</t>
        </is>
      </c>
    </row>
    <row r="1361">
      <c r="A1361" s="5" t="inlineStr">
        <is>
          <t>L101356</t>
        </is>
      </c>
      <c r="B1361" s="16" t="n">
        <v>212846.34</v>
      </c>
      <c r="C1361" s="16" t="n">
        <v>209398.27</v>
      </c>
      <c r="D1361" s="26" t="n">
        <v>6.112</v>
      </c>
      <c r="E1361" s="6" t="n">
        <v>681</v>
      </c>
      <c r="F1361" s="11" t="n">
        <v>50.8</v>
      </c>
      <c r="G1361" s="11" t="n">
        <v>37.2</v>
      </c>
      <c r="H1361" s="6" t="n">
        <v>16</v>
      </c>
      <c r="I1361" s="6" t="n">
        <v>344</v>
      </c>
      <c r="J1361" s="5" t="inlineStr">
        <is>
          <t>TX</t>
        </is>
      </c>
      <c r="K1361" s="5" t="inlineStr">
        <is>
          <t>SFR</t>
        </is>
      </c>
      <c r="L1361" s="5" t="inlineStr">
        <is>
          <t>Coastal Mortgage Co</t>
        </is>
      </c>
      <c r="M1361" s="5" t="inlineStr">
        <is>
          <t>Pier Asset Mgmt</t>
        </is>
      </c>
    </row>
    <row r="1362">
      <c r="A1362" s="7" t="inlineStr">
        <is>
          <t>L101357</t>
        </is>
      </c>
      <c r="B1362" s="8" t="n">
        <v>203315.28</v>
      </c>
      <c r="C1362" s="8" t="n">
        <v>195628.15</v>
      </c>
      <c r="D1362" s="27" t="n">
        <v>5.278</v>
      </c>
      <c r="E1362" s="10" t="n">
        <v>686</v>
      </c>
      <c r="F1362" s="12" t="n">
        <v>73.3</v>
      </c>
      <c r="G1362" s="12" t="n">
        <v>33.1</v>
      </c>
      <c r="H1362" s="10" t="n">
        <v>31</v>
      </c>
      <c r="I1362" s="10" t="n">
        <v>329</v>
      </c>
      <c r="J1362" s="7" t="inlineStr">
        <is>
          <t>OH</t>
        </is>
      </c>
      <c r="K1362" s="7" t="inlineStr">
        <is>
          <t>SFR</t>
        </is>
      </c>
      <c r="L1362" s="7" t="inlineStr">
        <is>
          <t>Coastal Mortgage Co</t>
        </is>
      </c>
      <c r="M1362" s="7" t="inlineStr">
        <is>
          <t>Summit Loan Servicing</t>
        </is>
      </c>
    </row>
    <row r="1363">
      <c r="A1363" s="5" t="inlineStr">
        <is>
          <t>L101358</t>
        </is>
      </c>
      <c r="B1363" s="16" t="n">
        <v>210319.06</v>
      </c>
      <c r="C1363" s="16" t="n">
        <v>201074.07</v>
      </c>
      <c r="D1363" s="26" t="n">
        <v>6.749</v>
      </c>
      <c r="E1363" s="6" t="n">
        <v>659</v>
      </c>
      <c r="F1363" s="11" t="n">
        <v>68.8</v>
      </c>
      <c r="G1363" s="11" t="n">
        <v>25.3</v>
      </c>
      <c r="H1363" s="6" t="n">
        <v>45</v>
      </c>
      <c r="I1363" s="6" t="n">
        <v>315</v>
      </c>
      <c r="J1363" s="5" t="inlineStr">
        <is>
          <t>NY</t>
        </is>
      </c>
      <c r="K1363" s="5" t="inlineStr">
        <is>
          <t>SFR</t>
        </is>
      </c>
      <c r="L1363" s="5" t="inlineStr">
        <is>
          <t>Meridian Home Loans</t>
        </is>
      </c>
      <c r="M1363" s="5" t="inlineStr">
        <is>
          <t>Summit Loan Servicing</t>
        </is>
      </c>
    </row>
    <row r="1364">
      <c r="A1364" s="7" t="inlineStr">
        <is>
          <t>L101359</t>
        </is>
      </c>
      <c r="B1364" s="8" t="n">
        <v>222151.1</v>
      </c>
      <c r="C1364" s="8" t="n">
        <v>214682.55</v>
      </c>
      <c r="D1364" s="27" t="n">
        <v>5.945</v>
      </c>
      <c r="E1364" s="10" t="n">
        <v>724</v>
      </c>
      <c r="F1364" s="12" t="n">
        <v>72.40000000000001</v>
      </c>
      <c r="G1364" s="12" t="n">
        <v>41.4</v>
      </c>
      <c r="H1364" s="10" t="n">
        <v>31</v>
      </c>
      <c r="I1364" s="10" t="n">
        <v>329</v>
      </c>
      <c r="J1364" s="7" t="inlineStr">
        <is>
          <t>TX</t>
        </is>
      </c>
      <c r="K1364" s="7" t="inlineStr">
        <is>
          <t>SFR</t>
        </is>
      </c>
      <c r="L1364" s="7" t="inlineStr">
        <is>
          <t>Highline Capital</t>
        </is>
      </c>
      <c r="M1364" s="7" t="inlineStr">
        <is>
          <t>Pier Asset Mgmt</t>
        </is>
      </c>
    </row>
    <row r="1365">
      <c r="A1365" s="5" t="inlineStr">
        <is>
          <t>L101360</t>
        </is>
      </c>
      <c r="B1365" s="16" t="n">
        <v>212727.59</v>
      </c>
      <c r="C1365" s="16" t="n">
        <v>202476.98</v>
      </c>
      <c r="D1365" s="26" t="n">
        <v>6.08</v>
      </c>
      <c r="E1365" s="6" t="n">
        <v>712</v>
      </c>
      <c r="F1365" s="11" t="n">
        <v>68</v>
      </c>
      <c r="G1365" s="11" t="n">
        <v>31.5</v>
      </c>
      <c r="H1365" s="6" t="n">
        <v>44</v>
      </c>
      <c r="I1365" s="6" t="n">
        <v>316</v>
      </c>
      <c r="J1365" s="5" t="inlineStr">
        <is>
          <t>WA</t>
        </is>
      </c>
      <c r="K1365" s="5" t="inlineStr">
        <is>
          <t>SFR</t>
        </is>
      </c>
      <c r="L1365" s="5" t="inlineStr">
        <is>
          <t>Highline Capital</t>
        </is>
      </c>
      <c r="M1365" s="5" t="inlineStr">
        <is>
          <t>Summit Loan Servicing</t>
        </is>
      </c>
    </row>
    <row r="1366">
      <c r="A1366" s="7" t="inlineStr">
        <is>
          <t>L101361</t>
        </is>
      </c>
      <c r="B1366" s="8" t="n">
        <v>334606</v>
      </c>
      <c r="C1366" s="8" t="n">
        <v>317938.96</v>
      </c>
      <c r="D1366" s="27" t="n">
        <v>5.888</v>
      </c>
      <c r="E1366" s="10" t="n">
        <v>591</v>
      </c>
      <c r="F1366" s="12" t="n">
        <v>75.7</v>
      </c>
      <c r="G1366" s="12" t="n">
        <v>32.7</v>
      </c>
      <c r="H1366" s="10" t="n">
        <v>44</v>
      </c>
      <c r="I1366" s="10" t="n">
        <v>316</v>
      </c>
      <c r="J1366" s="7" t="inlineStr">
        <is>
          <t>WA</t>
        </is>
      </c>
      <c r="K1366" s="7" t="inlineStr">
        <is>
          <t>SFR</t>
        </is>
      </c>
      <c r="L1366" s="7" t="inlineStr">
        <is>
          <t>Highline Capital</t>
        </is>
      </c>
      <c r="M1366" s="7" t="inlineStr">
        <is>
          <t>Northgate Servicing</t>
        </is>
      </c>
    </row>
    <row r="1367">
      <c r="A1367" s="5" t="inlineStr">
        <is>
          <t>L101362</t>
        </is>
      </c>
      <c r="B1367" s="16" t="n">
        <v>132372.71</v>
      </c>
      <c r="C1367" s="16" t="n">
        <v>131936.38</v>
      </c>
      <c r="D1367" s="26" t="n">
        <v>9.063000000000001</v>
      </c>
      <c r="E1367" s="6" t="n">
        <v>727</v>
      </c>
      <c r="F1367" s="11" t="n">
        <v>97</v>
      </c>
      <c r="G1367" s="11" t="n">
        <v>32.3</v>
      </c>
      <c r="H1367" s="6" t="n">
        <v>6</v>
      </c>
      <c r="I1367" s="6" t="n">
        <v>354</v>
      </c>
      <c r="J1367" s="5" t="inlineStr">
        <is>
          <t>IL</t>
        </is>
      </c>
      <c r="K1367" s="5" t="inlineStr">
        <is>
          <t>SFR</t>
        </is>
      </c>
      <c r="L1367" s="5" t="inlineStr">
        <is>
          <t>Highline Capital</t>
        </is>
      </c>
      <c r="M1367" s="5" t="inlineStr">
        <is>
          <t>Summit Loan Servicing</t>
        </is>
      </c>
    </row>
    <row r="1368">
      <c r="A1368" s="7" t="inlineStr">
        <is>
          <t>L101363</t>
        </is>
      </c>
      <c r="B1368" s="8" t="n">
        <v>328305.55</v>
      </c>
      <c r="C1368" s="8" t="n">
        <v>310873.52</v>
      </c>
      <c r="D1368" s="27" t="n">
        <v>5.804</v>
      </c>
      <c r="E1368" s="10" t="n">
        <v>664</v>
      </c>
      <c r="F1368" s="12" t="n">
        <v>70.09999999999999</v>
      </c>
      <c r="G1368" s="12" t="n">
        <v>45.9</v>
      </c>
      <c r="H1368" s="10" t="n">
        <v>46</v>
      </c>
      <c r="I1368" s="10" t="n">
        <v>314</v>
      </c>
      <c r="J1368" s="7" t="inlineStr">
        <is>
          <t>NC</t>
        </is>
      </c>
      <c r="K1368" s="7" t="inlineStr">
        <is>
          <t>SFR</t>
        </is>
      </c>
      <c r="L1368" s="7" t="inlineStr">
        <is>
          <t>Coastal Mortgage Co</t>
        </is>
      </c>
      <c r="M1368" s="7" t="inlineStr">
        <is>
          <t>Northgate Servicing</t>
        </is>
      </c>
    </row>
    <row r="1369">
      <c r="A1369" s="5" t="inlineStr">
        <is>
          <t>L101364</t>
        </is>
      </c>
      <c r="B1369" s="16" t="n">
        <v>212587.66</v>
      </c>
      <c r="C1369" s="16" t="n">
        <v>200928.2</v>
      </c>
      <c r="D1369" s="26" t="n">
        <v>4.538</v>
      </c>
      <c r="E1369" s="6" t="n">
        <v>742</v>
      </c>
      <c r="F1369" s="11" t="n">
        <v>77.5</v>
      </c>
      <c r="G1369" s="11" t="n">
        <v>35.7</v>
      </c>
      <c r="H1369" s="6" t="n">
        <v>39</v>
      </c>
      <c r="I1369" s="6" t="n">
        <v>321</v>
      </c>
      <c r="J1369" s="5" t="inlineStr">
        <is>
          <t>AZ</t>
        </is>
      </c>
      <c r="K1369" s="5" t="inlineStr">
        <is>
          <t>Condo</t>
        </is>
      </c>
      <c r="L1369" s="5" t="inlineStr">
        <is>
          <t>Meridian Home Loans</t>
        </is>
      </c>
      <c r="M1369" s="5" t="inlineStr">
        <is>
          <t>Pier Asset Mgmt</t>
        </is>
      </c>
    </row>
    <row r="1370">
      <c r="A1370" s="7" t="inlineStr">
        <is>
          <t>L101365</t>
        </is>
      </c>
      <c r="B1370" s="8" t="n">
        <v>277044.03</v>
      </c>
      <c r="C1370" s="8" t="n">
        <v>269702.8</v>
      </c>
      <c r="D1370" s="27" t="n">
        <v>4.96</v>
      </c>
      <c r="E1370" s="10" t="n">
        <v>644</v>
      </c>
      <c r="F1370" s="12" t="n">
        <v>97</v>
      </c>
      <c r="G1370" s="12" t="n">
        <v>36.6</v>
      </c>
      <c r="H1370" s="10" t="n">
        <v>21</v>
      </c>
      <c r="I1370" s="10" t="n">
        <v>339</v>
      </c>
      <c r="J1370" s="7" t="inlineStr">
        <is>
          <t>CA</t>
        </is>
      </c>
      <c r="K1370" s="7" t="inlineStr">
        <is>
          <t>Condo</t>
        </is>
      </c>
      <c r="L1370" s="7" t="inlineStr">
        <is>
          <t>Coastal Mortgage Co</t>
        </is>
      </c>
      <c r="M1370" s="7" t="inlineStr">
        <is>
          <t>Northgate Servicing</t>
        </is>
      </c>
    </row>
    <row r="1371">
      <c r="A1371" s="5" t="inlineStr">
        <is>
          <t>L101366</t>
        </is>
      </c>
      <c r="B1371" s="16" t="n">
        <v>163661.28</v>
      </c>
      <c r="C1371" s="16" t="n">
        <v>159500.44</v>
      </c>
      <c r="D1371" s="26" t="n">
        <v>7.083</v>
      </c>
      <c r="E1371" s="6" t="n">
        <v>717</v>
      </c>
      <c r="F1371" s="11" t="n">
        <v>67.40000000000001</v>
      </c>
      <c r="G1371" s="11" t="n">
        <v>32.5</v>
      </c>
      <c r="H1371" s="6" t="n">
        <v>29</v>
      </c>
      <c r="I1371" s="6" t="n">
        <v>331</v>
      </c>
      <c r="J1371" s="5" t="inlineStr">
        <is>
          <t>FL</t>
        </is>
      </c>
      <c r="K1371" s="5" t="inlineStr">
        <is>
          <t>SFR</t>
        </is>
      </c>
      <c r="L1371" s="5" t="inlineStr">
        <is>
          <t>Highline Capital</t>
        </is>
      </c>
      <c r="M1371" s="5" t="inlineStr">
        <is>
          <t>Summit Loan Servicing</t>
        </is>
      </c>
    </row>
    <row r="1372">
      <c r="A1372" s="7" t="inlineStr">
        <is>
          <t>L101367</t>
        </is>
      </c>
      <c r="B1372" s="8" t="n">
        <v>386551.69</v>
      </c>
      <c r="C1372" s="8" t="n">
        <v>377298.95</v>
      </c>
      <c r="D1372" s="27" t="n">
        <v>7.603</v>
      </c>
      <c r="E1372" s="10" t="n">
        <v>699</v>
      </c>
      <c r="F1372" s="12" t="n">
        <v>95.8</v>
      </c>
      <c r="G1372" s="12" t="n">
        <v>39.7</v>
      </c>
      <c r="H1372" s="10" t="n">
        <v>30</v>
      </c>
      <c r="I1372" s="10" t="n">
        <v>330</v>
      </c>
      <c r="J1372" s="7" t="inlineStr">
        <is>
          <t>GA</t>
        </is>
      </c>
      <c r="K1372" s="7" t="inlineStr">
        <is>
          <t>SFR</t>
        </is>
      </c>
      <c r="L1372" s="7" t="inlineStr">
        <is>
          <t>Meridian Home Loans</t>
        </is>
      </c>
      <c r="M1372" s="7" t="inlineStr">
        <is>
          <t>Northgate Servicing</t>
        </is>
      </c>
    </row>
    <row r="1373">
      <c r="A1373" s="5" t="inlineStr">
        <is>
          <t>L101368</t>
        </is>
      </c>
      <c r="B1373" s="16" t="n">
        <v>375484.41</v>
      </c>
      <c r="C1373" s="16" t="n">
        <v>359754.49</v>
      </c>
      <c r="D1373" s="26" t="n">
        <v>5.786</v>
      </c>
      <c r="E1373" s="6" t="n">
        <v>732</v>
      </c>
      <c r="F1373" s="11" t="n">
        <v>74.09999999999999</v>
      </c>
      <c r="G1373" s="11" t="n">
        <v>46.8</v>
      </c>
      <c r="H1373" s="6" t="n">
        <v>37</v>
      </c>
      <c r="I1373" s="6" t="n">
        <v>323</v>
      </c>
      <c r="J1373" s="5" t="inlineStr">
        <is>
          <t>GA</t>
        </is>
      </c>
      <c r="K1373" s="5" t="inlineStr">
        <is>
          <t>Condo</t>
        </is>
      </c>
      <c r="L1373" s="5" t="inlineStr">
        <is>
          <t>Apex Funding</t>
        </is>
      </c>
      <c r="M1373" s="5" t="inlineStr">
        <is>
          <t>Summit Loan Servicing</t>
        </is>
      </c>
    </row>
    <row r="1374">
      <c r="A1374" s="7" t="inlineStr">
        <is>
          <t>L101369</t>
        </is>
      </c>
      <c r="B1374" s="8" t="n">
        <v>339713.09</v>
      </c>
      <c r="C1374" s="8" t="n">
        <v>329037.98</v>
      </c>
      <c r="D1374" s="27" t="n">
        <v>7.551</v>
      </c>
      <c r="E1374" s="10" t="n">
        <v>722</v>
      </c>
      <c r="F1374" s="12" t="n">
        <v>95.40000000000001</v>
      </c>
      <c r="G1374" s="12" t="n">
        <v>41.2</v>
      </c>
      <c r="H1374" s="10" t="n">
        <v>38</v>
      </c>
      <c r="I1374" s="10" t="n">
        <v>322</v>
      </c>
      <c r="J1374" s="7" t="inlineStr">
        <is>
          <t>NY</t>
        </is>
      </c>
      <c r="K1374" s="7" t="inlineStr">
        <is>
          <t>SFR</t>
        </is>
      </c>
      <c r="L1374" s="7" t="inlineStr">
        <is>
          <t>Meridian Home Loans</t>
        </is>
      </c>
      <c r="M1374" s="7" t="inlineStr">
        <is>
          <t>Northgate Servicing</t>
        </is>
      </c>
    </row>
    <row r="1375">
      <c r="A1375" s="5" t="inlineStr">
        <is>
          <t>L101370</t>
        </is>
      </c>
      <c r="B1375" s="16" t="n">
        <v>142890.78</v>
      </c>
      <c r="C1375" s="16" t="n">
        <v>142306</v>
      </c>
      <c r="D1375" s="26" t="n">
        <v>7.067</v>
      </c>
      <c r="E1375" s="6" t="n">
        <v>701</v>
      </c>
      <c r="F1375" s="11" t="n">
        <v>83</v>
      </c>
      <c r="G1375" s="11" t="n">
        <v>41.5</v>
      </c>
      <c r="H1375" s="6" t="n">
        <v>5</v>
      </c>
      <c r="I1375" s="6" t="n">
        <v>355</v>
      </c>
      <c r="J1375" s="5" t="inlineStr">
        <is>
          <t>CA</t>
        </is>
      </c>
      <c r="K1375" s="5" t="inlineStr">
        <is>
          <t>SFR</t>
        </is>
      </c>
      <c r="L1375" s="5" t="inlineStr">
        <is>
          <t>Coastal Mortgage Co</t>
        </is>
      </c>
      <c r="M1375" s="5" t="inlineStr">
        <is>
          <t>Summit Loan Servicing</t>
        </is>
      </c>
    </row>
    <row r="1376">
      <c r="A1376" s="7" t="inlineStr">
        <is>
          <t>L101371</t>
        </is>
      </c>
      <c r="B1376" s="8" t="n">
        <v>324549.18</v>
      </c>
      <c r="C1376" s="8" t="n">
        <v>324239.99</v>
      </c>
      <c r="D1376" s="27" t="n">
        <v>6.229</v>
      </c>
      <c r="E1376" s="10" t="n">
        <v>631</v>
      </c>
      <c r="F1376" s="12" t="n">
        <v>77.7</v>
      </c>
      <c r="G1376" s="12" t="n">
        <v>40.8</v>
      </c>
      <c r="H1376" s="10" t="n">
        <v>1</v>
      </c>
      <c r="I1376" s="10" t="n">
        <v>359</v>
      </c>
      <c r="J1376" s="7" t="inlineStr">
        <is>
          <t>WA</t>
        </is>
      </c>
      <c r="K1376" s="7" t="inlineStr">
        <is>
          <t>SFR</t>
        </is>
      </c>
      <c r="L1376" s="7" t="inlineStr">
        <is>
          <t>Meridian Home Loans</t>
        </is>
      </c>
      <c r="M1376" s="7" t="inlineStr">
        <is>
          <t>Northgate Servicing</t>
        </is>
      </c>
    </row>
    <row r="1377">
      <c r="A1377" s="5" t="inlineStr">
        <is>
          <t>L101372</t>
        </is>
      </c>
      <c r="B1377" s="16" t="n">
        <v>279763.33</v>
      </c>
      <c r="C1377" s="16" t="n">
        <v>276432.91</v>
      </c>
      <c r="D1377" s="26" t="n">
        <v>6.166</v>
      </c>
      <c r="E1377" s="6" t="n">
        <v>634</v>
      </c>
      <c r="F1377" s="11" t="n">
        <v>73.2</v>
      </c>
      <c r="G1377" s="11" t="n">
        <v>25</v>
      </c>
      <c r="H1377" s="6" t="n">
        <v>12</v>
      </c>
      <c r="I1377" s="6" t="n">
        <v>348</v>
      </c>
      <c r="J1377" s="5" t="inlineStr">
        <is>
          <t>NC</t>
        </is>
      </c>
      <c r="K1377" s="5" t="inlineStr">
        <is>
          <t>SFR</t>
        </is>
      </c>
      <c r="L1377" s="5" t="inlineStr">
        <is>
          <t>Meridian Home Loans</t>
        </is>
      </c>
      <c r="M1377" s="5" t="inlineStr">
        <is>
          <t>Summit Loan Servicing</t>
        </is>
      </c>
    </row>
    <row r="1378">
      <c r="A1378" s="7" t="inlineStr">
        <is>
          <t>L101373</t>
        </is>
      </c>
      <c r="B1378" s="8" t="n">
        <v>138434.85</v>
      </c>
      <c r="C1378" s="8" t="n">
        <v>135132.68</v>
      </c>
      <c r="D1378" s="27" t="n">
        <v>6.563</v>
      </c>
      <c r="E1378" s="10" t="n">
        <v>683</v>
      </c>
      <c r="F1378" s="12" t="n">
        <v>66.5</v>
      </c>
      <c r="G1378" s="12" t="n">
        <v>29</v>
      </c>
      <c r="H1378" s="10" t="n">
        <v>25</v>
      </c>
      <c r="I1378" s="10" t="n">
        <v>335</v>
      </c>
      <c r="J1378" s="7" t="inlineStr">
        <is>
          <t>AZ</t>
        </is>
      </c>
      <c r="K1378" s="7" t="inlineStr">
        <is>
          <t>SFR</t>
        </is>
      </c>
      <c r="L1378" s="7" t="inlineStr">
        <is>
          <t>Meridian Home Loans</t>
        </is>
      </c>
      <c r="M1378" s="7" t="inlineStr">
        <is>
          <t>Summit Loan Servicing</t>
        </is>
      </c>
    </row>
    <row r="1379">
      <c r="A1379" s="5" t="inlineStr">
        <is>
          <t>L101374</t>
        </is>
      </c>
      <c r="B1379" s="16" t="n">
        <v>240745.57</v>
      </c>
      <c r="C1379" s="16" t="n">
        <v>232183.79</v>
      </c>
      <c r="D1379" s="26" t="n">
        <v>7.19</v>
      </c>
      <c r="E1379" s="6" t="n">
        <v>715</v>
      </c>
      <c r="F1379" s="11" t="n">
        <v>74.90000000000001</v>
      </c>
      <c r="G1379" s="11" t="n">
        <v>34.4</v>
      </c>
      <c r="H1379" s="6" t="n">
        <v>40</v>
      </c>
      <c r="I1379" s="6" t="n">
        <v>320</v>
      </c>
      <c r="J1379" s="5" t="inlineStr">
        <is>
          <t>IL</t>
        </is>
      </c>
      <c r="K1379" s="5" t="inlineStr">
        <is>
          <t>SFR</t>
        </is>
      </c>
      <c r="L1379" s="5" t="inlineStr">
        <is>
          <t>Apex Funding</t>
        </is>
      </c>
      <c r="M1379" s="5" t="inlineStr">
        <is>
          <t>Summit Loan Servicing</t>
        </is>
      </c>
    </row>
    <row r="1380">
      <c r="A1380" s="7" t="inlineStr">
        <is>
          <t>L101375</t>
        </is>
      </c>
      <c r="B1380" s="8" t="n">
        <v>275842.98</v>
      </c>
      <c r="C1380" s="8" t="n">
        <v>267836</v>
      </c>
      <c r="D1380" s="27" t="n">
        <v>6.758</v>
      </c>
      <c r="E1380" s="10" t="n">
        <v>682</v>
      </c>
      <c r="F1380" s="12" t="n">
        <v>84.8</v>
      </c>
      <c r="G1380" s="12" t="n">
        <v>30.2</v>
      </c>
      <c r="H1380" s="10" t="n">
        <v>31</v>
      </c>
      <c r="I1380" s="10" t="n">
        <v>329</v>
      </c>
      <c r="J1380" s="7" t="inlineStr">
        <is>
          <t>GA</t>
        </is>
      </c>
      <c r="K1380" s="7" t="inlineStr">
        <is>
          <t>SFR</t>
        </is>
      </c>
      <c r="L1380" s="7" t="inlineStr">
        <is>
          <t>Apex Funding</t>
        </is>
      </c>
      <c r="M1380" s="7" t="inlineStr">
        <is>
          <t>Pier Asset Mgmt</t>
        </is>
      </c>
    </row>
    <row r="1381">
      <c r="A1381" s="5" t="inlineStr">
        <is>
          <t>L101376</t>
        </is>
      </c>
      <c r="B1381" s="16" t="n">
        <v>294969.24</v>
      </c>
      <c r="C1381" s="16" t="n">
        <v>292798.97</v>
      </c>
      <c r="D1381" s="26" t="n">
        <v>5.791</v>
      </c>
      <c r="E1381" s="6" t="n">
        <v>749</v>
      </c>
      <c r="F1381" s="11" t="n">
        <v>73.8</v>
      </c>
      <c r="G1381" s="11" t="n">
        <v>27.5</v>
      </c>
      <c r="H1381" s="6" t="n">
        <v>7</v>
      </c>
      <c r="I1381" s="6" t="n">
        <v>353</v>
      </c>
      <c r="J1381" s="5" t="inlineStr">
        <is>
          <t>IL</t>
        </is>
      </c>
      <c r="K1381" s="5" t="inlineStr">
        <is>
          <t>SFR</t>
        </is>
      </c>
      <c r="L1381" s="5" t="inlineStr">
        <is>
          <t>Coastal Mortgage Co</t>
        </is>
      </c>
      <c r="M1381" s="5" t="inlineStr">
        <is>
          <t>Pier Asset Mgmt</t>
        </is>
      </c>
    </row>
    <row r="1382">
      <c r="A1382" s="7" t="inlineStr">
        <is>
          <t>L101377</t>
        </is>
      </c>
      <c r="B1382" s="8" t="n">
        <v>258342.49</v>
      </c>
      <c r="C1382" s="8" t="n">
        <v>249239.18</v>
      </c>
      <c r="D1382" s="27" t="n">
        <v>6.243</v>
      </c>
      <c r="E1382" s="10" t="n">
        <v>700</v>
      </c>
      <c r="F1382" s="12" t="n">
        <v>70.2</v>
      </c>
      <c r="G1382" s="12" t="n">
        <v>21</v>
      </c>
      <c r="H1382" s="10" t="n">
        <v>34</v>
      </c>
      <c r="I1382" s="10" t="n">
        <v>326</v>
      </c>
      <c r="J1382" s="7" t="inlineStr">
        <is>
          <t>IL</t>
        </is>
      </c>
      <c r="K1382" s="7" t="inlineStr">
        <is>
          <t>SFR</t>
        </is>
      </c>
      <c r="L1382" s="7" t="inlineStr">
        <is>
          <t>Highline Capital</t>
        </is>
      </c>
      <c r="M1382" s="7" t="inlineStr">
        <is>
          <t>Pier Asset Mgmt</t>
        </is>
      </c>
    </row>
    <row r="1383">
      <c r="A1383" s="5" t="inlineStr">
        <is>
          <t>L101378</t>
        </is>
      </c>
      <c r="B1383" s="16" t="n">
        <v>268855.95</v>
      </c>
      <c r="C1383" s="16" t="n">
        <v>249889.87</v>
      </c>
      <c r="D1383" s="26" t="n">
        <v>8.183</v>
      </c>
      <c r="E1383" s="6" t="n">
        <v>662</v>
      </c>
      <c r="F1383" s="11" t="n">
        <v>71</v>
      </c>
      <c r="G1383" s="11" t="n">
        <v>25.2</v>
      </c>
      <c r="H1383" s="6" t="n">
        <v>23</v>
      </c>
      <c r="I1383" s="6" t="n">
        <v>157</v>
      </c>
      <c r="J1383" s="5" t="inlineStr">
        <is>
          <t>NC</t>
        </is>
      </c>
      <c r="K1383" s="5" t="inlineStr">
        <is>
          <t>SFR</t>
        </is>
      </c>
      <c r="L1383" s="5" t="inlineStr">
        <is>
          <t>Coastal Mortgage Co</t>
        </is>
      </c>
      <c r="M1383" s="5" t="inlineStr">
        <is>
          <t>Pier Asset Mgmt</t>
        </is>
      </c>
    </row>
    <row r="1384">
      <c r="A1384" s="7" t="inlineStr">
        <is>
          <t>L101379</t>
        </is>
      </c>
      <c r="B1384" s="8" t="n">
        <v>406672.71</v>
      </c>
      <c r="C1384" s="8" t="n">
        <v>399903.44</v>
      </c>
      <c r="D1384" s="27" t="n">
        <v>6.626</v>
      </c>
      <c r="E1384" s="10" t="n">
        <v>700</v>
      </c>
      <c r="F1384" s="12" t="n">
        <v>85.90000000000001</v>
      </c>
      <c r="G1384" s="12" t="n">
        <v>33.9</v>
      </c>
      <c r="H1384" s="10" t="n">
        <v>18</v>
      </c>
      <c r="I1384" s="10" t="n">
        <v>342</v>
      </c>
      <c r="J1384" s="7" t="inlineStr">
        <is>
          <t>WA</t>
        </is>
      </c>
      <c r="K1384" s="7" t="inlineStr">
        <is>
          <t>SFR</t>
        </is>
      </c>
      <c r="L1384" s="7" t="inlineStr">
        <is>
          <t>Apex Funding</t>
        </is>
      </c>
      <c r="M1384" s="7" t="inlineStr">
        <is>
          <t>Northgate Servicing</t>
        </is>
      </c>
    </row>
    <row r="1385">
      <c r="A1385" s="5" t="inlineStr">
        <is>
          <t>L101380</t>
        </is>
      </c>
      <c r="B1385" s="16" t="n">
        <v>372917.27</v>
      </c>
      <c r="C1385" s="16" t="n">
        <v>360745.47</v>
      </c>
      <c r="D1385" s="26" t="n">
        <v>7.182</v>
      </c>
      <c r="E1385" s="6" t="n">
        <v>727</v>
      </c>
      <c r="F1385" s="11" t="n">
        <v>88.7</v>
      </c>
      <c r="G1385" s="11" t="n">
        <v>35.4</v>
      </c>
      <c r="H1385" s="6" t="n">
        <v>37</v>
      </c>
      <c r="I1385" s="6" t="n">
        <v>323</v>
      </c>
      <c r="J1385" s="5" t="inlineStr">
        <is>
          <t>AZ</t>
        </is>
      </c>
      <c r="K1385" s="5" t="inlineStr">
        <is>
          <t>SFR</t>
        </is>
      </c>
      <c r="L1385" s="5" t="inlineStr">
        <is>
          <t>Apex Funding</t>
        </is>
      </c>
      <c r="M1385" s="5" t="inlineStr">
        <is>
          <t>Summit Loan Servicing</t>
        </is>
      </c>
    </row>
    <row r="1386">
      <c r="A1386" s="7" t="inlineStr">
        <is>
          <t>L101381</t>
        </is>
      </c>
      <c r="B1386" s="8" t="n">
        <v>89012.38</v>
      </c>
      <c r="C1386" s="8" t="n">
        <v>87927.83</v>
      </c>
      <c r="D1386" s="27" t="n">
        <v>6.886</v>
      </c>
      <c r="E1386" s="10" t="n">
        <v>733</v>
      </c>
      <c r="F1386" s="12" t="n">
        <v>66</v>
      </c>
      <c r="G1386" s="12" t="n">
        <v>29.7</v>
      </c>
      <c r="H1386" s="10" t="n">
        <v>14</v>
      </c>
      <c r="I1386" s="10" t="n">
        <v>346</v>
      </c>
      <c r="J1386" s="7" t="inlineStr">
        <is>
          <t>NC</t>
        </is>
      </c>
      <c r="K1386" s="7" t="inlineStr">
        <is>
          <t>Condo</t>
        </is>
      </c>
      <c r="L1386" s="7" t="inlineStr">
        <is>
          <t>Apex Funding</t>
        </is>
      </c>
      <c r="M1386" s="7" t="inlineStr">
        <is>
          <t>Pier Asset Mgmt</t>
        </is>
      </c>
    </row>
    <row r="1387">
      <c r="A1387" s="5" t="inlineStr">
        <is>
          <t>L101382</t>
        </is>
      </c>
      <c r="B1387" s="16" t="n">
        <v>217270.09</v>
      </c>
      <c r="C1387" s="16" t="n">
        <v>211058.22</v>
      </c>
      <c r="D1387" s="26" t="n">
        <v>6.646</v>
      </c>
      <c r="E1387" s="6" t="n">
        <v>818</v>
      </c>
      <c r="F1387" s="11" t="n">
        <v>66</v>
      </c>
      <c r="G1387" s="11" t="n">
        <v>36.6</v>
      </c>
      <c r="H1387" s="6" t="n">
        <v>30</v>
      </c>
      <c r="I1387" s="6" t="n">
        <v>330</v>
      </c>
      <c r="J1387" s="5" t="inlineStr">
        <is>
          <t>CA</t>
        </is>
      </c>
      <c r="K1387" s="5" t="inlineStr">
        <is>
          <t>Multifamily</t>
        </is>
      </c>
      <c r="L1387" s="5" t="inlineStr">
        <is>
          <t>Highline Capital</t>
        </is>
      </c>
      <c r="M1387" s="5" t="inlineStr">
        <is>
          <t>Pier Asset Mgmt</t>
        </is>
      </c>
    </row>
    <row r="1388">
      <c r="A1388" s="7" t="inlineStr">
        <is>
          <t>L101383</t>
        </is>
      </c>
      <c r="B1388" s="8" t="n">
        <v>229205.01</v>
      </c>
      <c r="C1388" s="8" t="n">
        <v>227298.53</v>
      </c>
      <c r="D1388" s="27" t="n">
        <v>6.498</v>
      </c>
      <c r="E1388" s="10" t="n">
        <v>678</v>
      </c>
      <c r="F1388" s="12" t="n">
        <v>78.59999999999999</v>
      </c>
      <c r="G1388" s="12" t="n">
        <v>32.5</v>
      </c>
      <c r="H1388" s="10" t="n">
        <v>9</v>
      </c>
      <c r="I1388" s="10" t="n">
        <v>351</v>
      </c>
      <c r="J1388" s="7" t="inlineStr">
        <is>
          <t>GA</t>
        </is>
      </c>
      <c r="K1388" s="7" t="inlineStr">
        <is>
          <t>SFR</t>
        </is>
      </c>
      <c r="L1388" s="7" t="inlineStr">
        <is>
          <t>Highline Capital</t>
        </is>
      </c>
      <c r="M1388" s="7" t="inlineStr">
        <is>
          <t>Northgate Servicing</t>
        </is>
      </c>
    </row>
    <row r="1389">
      <c r="A1389" s="5" t="inlineStr">
        <is>
          <t>L101384</t>
        </is>
      </c>
      <c r="B1389" s="16" t="n">
        <v>131500.44</v>
      </c>
      <c r="C1389" s="16" t="n">
        <v>129540.3</v>
      </c>
      <c r="D1389" s="26" t="n">
        <v>7.208</v>
      </c>
      <c r="E1389" s="6" t="n">
        <v>711</v>
      </c>
      <c r="F1389" s="11" t="n">
        <v>92.3</v>
      </c>
      <c r="G1389" s="11" t="n">
        <v>44.7</v>
      </c>
      <c r="H1389" s="6" t="n">
        <v>18</v>
      </c>
      <c r="I1389" s="6" t="n">
        <v>342</v>
      </c>
      <c r="J1389" s="5" t="inlineStr">
        <is>
          <t>WA</t>
        </is>
      </c>
      <c r="K1389" s="5" t="inlineStr">
        <is>
          <t>SFR</t>
        </is>
      </c>
      <c r="L1389" s="5" t="inlineStr">
        <is>
          <t>Apex Funding</t>
        </is>
      </c>
      <c r="M1389" s="5" t="inlineStr">
        <is>
          <t>Summit Loan Servicing</t>
        </is>
      </c>
    </row>
    <row r="1390">
      <c r="A1390" s="7" t="inlineStr">
        <is>
          <t>L101385</t>
        </is>
      </c>
      <c r="B1390" s="8" t="n">
        <v>250938.73</v>
      </c>
      <c r="C1390" s="8" t="n">
        <v>244994.97</v>
      </c>
      <c r="D1390" s="27" t="n">
        <v>7.047</v>
      </c>
      <c r="E1390" s="10" t="n">
        <v>738</v>
      </c>
      <c r="F1390" s="12" t="n">
        <v>87.8</v>
      </c>
      <c r="G1390" s="12" t="n">
        <v>34.7</v>
      </c>
      <c r="H1390" s="10" t="n">
        <v>27</v>
      </c>
      <c r="I1390" s="10" t="n">
        <v>333</v>
      </c>
      <c r="J1390" s="7" t="inlineStr">
        <is>
          <t>NY</t>
        </is>
      </c>
      <c r="K1390" s="7" t="inlineStr">
        <is>
          <t>SFR</t>
        </is>
      </c>
      <c r="L1390" s="7" t="inlineStr">
        <is>
          <t>Highline Capital</t>
        </is>
      </c>
      <c r="M1390" s="7" t="inlineStr">
        <is>
          <t>Northgate Servicing</t>
        </is>
      </c>
    </row>
    <row r="1391">
      <c r="A1391" s="5" t="inlineStr">
        <is>
          <t>L101386</t>
        </is>
      </c>
      <c r="B1391" s="16" t="n">
        <v>375895.03</v>
      </c>
      <c r="C1391" s="16" t="n">
        <v>365132.26</v>
      </c>
      <c r="D1391" s="26" t="n">
        <v>6.638</v>
      </c>
      <c r="E1391" s="6" t="n">
        <v>714</v>
      </c>
      <c r="F1391" s="11" t="n">
        <v>59</v>
      </c>
      <c r="G1391" s="11" t="n">
        <v>41.6</v>
      </c>
      <c r="H1391" s="6" t="n">
        <v>30</v>
      </c>
      <c r="I1391" s="6" t="n">
        <v>330</v>
      </c>
      <c r="J1391" s="5" t="inlineStr">
        <is>
          <t>GA</t>
        </is>
      </c>
      <c r="K1391" s="5" t="inlineStr">
        <is>
          <t>2-4 Unit</t>
        </is>
      </c>
      <c r="L1391" s="5" t="inlineStr">
        <is>
          <t>Apex Funding</t>
        </is>
      </c>
      <c r="M1391" s="5" t="inlineStr">
        <is>
          <t>Northgate Servicing</t>
        </is>
      </c>
    </row>
    <row r="1392">
      <c r="A1392" s="7" t="inlineStr">
        <is>
          <t>L101387</t>
        </is>
      </c>
      <c r="B1392" s="8" t="n">
        <v>165993.06</v>
      </c>
      <c r="C1392" s="8" t="n">
        <v>157564.2</v>
      </c>
      <c r="D1392" s="27" t="n">
        <v>5.776</v>
      </c>
      <c r="E1392" s="10" t="n">
        <v>687</v>
      </c>
      <c r="F1392" s="12" t="n">
        <v>70.8</v>
      </c>
      <c r="G1392" s="12" t="n">
        <v>37.6</v>
      </c>
      <c r="H1392" s="10" t="n">
        <v>44</v>
      </c>
      <c r="I1392" s="10" t="n">
        <v>316</v>
      </c>
      <c r="J1392" s="7" t="inlineStr">
        <is>
          <t>NY</t>
        </is>
      </c>
      <c r="K1392" s="7" t="inlineStr">
        <is>
          <t>SFR</t>
        </is>
      </c>
      <c r="L1392" s="7" t="inlineStr">
        <is>
          <t>Coastal Mortgage Co</t>
        </is>
      </c>
      <c r="M1392" s="7" t="inlineStr">
        <is>
          <t>Pier Asset Mgmt</t>
        </is>
      </c>
    </row>
    <row r="1393">
      <c r="A1393" s="5" t="inlineStr">
        <is>
          <t>L101388</t>
        </is>
      </c>
      <c r="B1393" s="16" t="n">
        <v>273140.15</v>
      </c>
      <c r="C1393" s="16" t="n">
        <v>269722.72</v>
      </c>
      <c r="D1393" s="26" t="n">
        <v>6.747</v>
      </c>
      <c r="E1393" s="6" t="n">
        <v>630</v>
      </c>
      <c r="F1393" s="11" t="n">
        <v>62.8</v>
      </c>
      <c r="G1393" s="11" t="n">
        <v>24.8</v>
      </c>
      <c r="H1393" s="6" t="n">
        <v>14</v>
      </c>
      <c r="I1393" s="6" t="n">
        <v>346</v>
      </c>
      <c r="J1393" s="5" t="inlineStr">
        <is>
          <t>TX</t>
        </is>
      </c>
      <c r="K1393" s="5" t="inlineStr">
        <is>
          <t>SFR</t>
        </is>
      </c>
      <c r="L1393" s="5" t="inlineStr">
        <is>
          <t>Highline Capital</t>
        </is>
      </c>
      <c r="M1393" s="5" t="inlineStr">
        <is>
          <t>Summit Loan Servicing</t>
        </is>
      </c>
    </row>
    <row r="1394">
      <c r="A1394" s="7" t="inlineStr">
        <is>
          <t>L101389</t>
        </is>
      </c>
      <c r="B1394" s="8" t="n">
        <v>176215.29</v>
      </c>
      <c r="C1394" s="8" t="n">
        <v>168305.89</v>
      </c>
      <c r="D1394" s="27" t="n">
        <v>6.34</v>
      </c>
      <c r="E1394" s="10" t="n">
        <v>687</v>
      </c>
      <c r="F1394" s="12" t="n">
        <v>70.8</v>
      </c>
      <c r="G1394" s="12" t="n">
        <v>35.3</v>
      </c>
      <c r="H1394" s="10" t="n">
        <v>43</v>
      </c>
      <c r="I1394" s="10" t="n">
        <v>317</v>
      </c>
      <c r="J1394" s="7" t="inlineStr">
        <is>
          <t>AZ</t>
        </is>
      </c>
      <c r="K1394" s="7" t="inlineStr">
        <is>
          <t>Condo</t>
        </is>
      </c>
      <c r="L1394" s="7" t="inlineStr">
        <is>
          <t>Meridian Home Loans</t>
        </is>
      </c>
      <c r="M1394" s="7" t="inlineStr">
        <is>
          <t>Northgate Servicing</t>
        </is>
      </c>
    </row>
    <row r="1395">
      <c r="A1395" s="5" t="inlineStr">
        <is>
          <t>L101390</t>
        </is>
      </c>
      <c r="B1395" s="16" t="n">
        <v>191919.4</v>
      </c>
      <c r="C1395" s="16" t="n">
        <v>183889.73</v>
      </c>
      <c r="D1395" s="26" t="n">
        <v>6.123</v>
      </c>
      <c r="E1395" s="6" t="n">
        <v>656</v>
      </c>
      <c r="F1395" s="11" t="n">
        <v>93.3</v>
      </c>
      <c r="G1395" s="11" t="n">
        <v>26.1</v>
      </c>
      <c r="H1395" s="6" t="n">
        <v>39</v>
      </c>
      <c r="I1395" s="6" t="n">
        <v>321</v>
      </c>
      <c r="J1395" s="5" t="inlineStr">
        <is>
          <t>NY</t>
        </is>
      </c>
      <c r="K1395" s="5" t="inlineStr">
        <is>
          <t>SFR</t>
        </is>
      </c>
      <c r="L1395" s="5" t="inlineStr">
        <is>
          <t>Coastal Mortgage Co</t>
        </is>
      </c>
      <c r="M1395" s="5" t="inlineStr">
        <is>
          <t>Pier Asset Mgmt</t>
        </is>
      </c>
    </row>
    <row r="1396">
      <c r="A1396" s="7" t="inlineStr">
        <is>
          <t>L101391</t>
        </is>
      </c>
      <c r="B1396" s="8" t="n">
        <v>407211.41</v>
      </c>
      <c r="C1396" s="8" t="n">
        <v>403038.89</v>
      </c>
      <c r="D1396" s="27" t="n">
        <v>8.811</v>
      </c>
      <c r="E1396" s="10" t="n">
        <v>620</v>
      </c>
      <c r="F1396" s="12" t="n">
        <v>56.9</v>
      </c>
      <c r="G1396" s="12" t="n">
        <v>35.1</v>
      </c>
      <c r="H1396" s="10" t="n">
        <v>17</v>
      </c>
      <c r="I1396" s="10" t="n">
        <v>343</v>
      </c>
      <c r="J1396" s="7" t="inlineStr">
        <is>
          <t>GA</t>
        </is>
      </c>
      <c r="K1396" s="7" t="inlineStr">
        <is>
          <t>SFR</t>
        </is>
      </c>
      <c r="L1396" s="7" t="inlineStr">
        <is>
          <t>Meridian Home Loans</t>
        </is>
      </c>
      <c r="M1396" s="7" t="inlineStr">
        <is>
          <t>Pier Asset Mgmt</t>
        </is>
      </c>
    </row>
    <row r="1397">
      <c r="A1397" s="5" t="inlineStr">
        <is>
          <t>L101392</t>
        </is>
      </c>
      <c r="B1397" s="16" t="n">
        <v>200808.05</v>
      </c>
      <c r="C1397" s="16" t="n">
        <v>199102.5</v>
      </c>
      <c r="D1397" s="26" t="n">
        <v>5.015</v>
      </c>
      <c r="E1397" s="6" t="n">
        <v>671</v>
      </c>
      <c r="F1397" s="11" t="n">
        <v>54.6</v>
      </c>
      <c r="G1397" s="11" t="n">
        <v>30</v>
      </c>
      <c r="H1397" s="6" t="n">
        <v>7</v>
      </c>
      <c r="I1397" s="6" t="n">
        <v>353</v>
      </c>
      <c r="J1397" s="5" t="inlineStr">
        <is>
          <t>GA</t>
        </is>
      </c>
      <c r="K1397" s="5" t="inlineStr">
        <is>
          <t>SFR</t>
        </is>
      </c>
      <c r="L1397" s="5" t="inlineStr">
        <is>
          <t>Highline Capital</t>
        </is>
      </c>
      <c r="M1397" s="5" t="inlineStr">
        <is>
          <t>Summit Loan Servicing</t>
        </is>
      </c>
    </row>
    <row r="1398">
      <c r="A1398" s="7" t="inlineStr">
        <is>
          <t>L101393</t>
        </is>
      </c>
      <c r="B1398" s="8" t="n">
        <v>285436.36</v>
      </c>
      <c r="C1398" s="8" t="n">
        <v>282441.94</v>
      </c>
      <c r="D1398" s="27" t="n">
        <v>7.263</v>
      </c>
      <c r="E1398" s="10" t="n">
        <v>657</v>
      </c>
      <c r="F1398" s="12" t="n">
        <v>64.09999999999999</v>
      </c>
      <c r="G1398" s="12" t="n">
        <v>39.1</v>
      </c>
      <c r="H1398" s="10" t="n">
        <v>13</v>
      </c>
      <c r="I1398" s="10" t="n">
        <v>347</v>
      </c>
      <c r="J1398" s="7" t="inlineStr">
        <is>
          <t>OH</t>
        </is>
      </c>
      <c r="K1398" s="7" t="inlineStr">
        <is>
          <t>SFR</t>
        </is>
      </c>
      <c r="L1398" s="7" t="inlineStr">
        <is>
          <t>Highline Capital</t>
        </is>
      </c>
      <c r="M1398" s="7" t="inlineStr">
        <is>
          <t>Northgate Servicing</t>
        </is>
      </c>
    </row>
    <row r="1399">
      <c r="A1399" s="5" t="inlineStr">
        <is>
          <t>L101394</t>
        </is>
      </c>
      <c r="B1399" s="16" t="n">
        <v>126130.66</v>
      </c>
      <c r="C1399" s="16" t="n">
        <v>121642.1</v>
      </c>
      <c r="D1399" s="26" t="n">
        <v>5.624</v>
      </c>
      <c r="E1399" s="6" t="n">
        <v>747</v>
      </c>
      <c r="F1399" s="11" t="n">
        <v>77.40000000000001</v>
      </c>
      <c r="G1399" s="11" t="n">
        <v>25.3</v>
      </c>
      <c r="H1399" s="6" t="n">
        <v>31</v>
      </c>
      <c r="I1399" s="6" t="n">
        <v>329</v>
      </c>
      <c r="J1399" s="5" t="inlineStr">
        <is>
          <t>WA</t>
        </is>
      </c>
      <c r="K1399" s="5" t="inlineStr">
        <is>
          <t>Condo</t>
        </is>
      </c>
      <c r="L1399" s="5" t="inlineStr">
        <is>
          <t>Highline Capital</t>
        </is>
      </c>
      <c r="M1399" s="5" t="inlineStr">
        <is>
          <t>Northgate Servicing</t>
        </is>
      </c>
    </row>
    <row r="1400">
      <c r="A1400" s="7" t="inlineStr">
        <is>
          <t>L101395</t>
        </is>
      </c>
      <c r="B1400" s="8" t="n">
        <v>465939.53</v>
      </c>
      <c r="C1400" s="8" t="n">
        <v>448276.84</v>
      </c>
      <c r="D1400" s="27" t="n">
        <v>6.518</v>
      </c>
      <c r="E1400" s="10" t="n">
        <v>748</v>
      </c>
      <c r="F1400" s="12" t="n">
        <v>81.40000000000001</v>
      </c>
      <c r="G1400" s="12" t="n">
        <v>36.1</v>
      </c>
      <c r="H1400" s="10" t="n">
        <v>38</v>
      </c>
      <c r="I1400" s="10" t="n">
        <v>322</v>
      </c>
      <c r="J1400" s="7" t="inlineStr">
        <is>
          <t>GA</t>
        </is>
      </c>
      <c r="K1400" s="7" t="inlineStr">
        <is>
          <t>SFR</t>
        </is>
      </c>
      <c r="L1400" s="7" t="inlineStr">
        <is>
          <t>Meridian Home Loans</t>
        </is>
      </c>
      <c r="M1400" s="7" t="inlineStr">
        <is>
          <t>Northgate Servicing</t>
        </is>
      </c>
    </row>
    <row r="1401">
      <c r="A1401" s="5" t="inlineStr">
        <is>
          <t>L101396</t>
        </is>
      </c>
      <c r="B1401" s="16" t="n">
        <v>299817.24</v>
      </c>
      <c r="C1401" s="16" t="n">
        <v>294227.78</v>
      </c>
      <c r="D1401" s="26" t="n">
        <v>8.712</v>
      </c>
      <c r="E1401" s="6" t="n">
        <v>665</v>
      </c>
      <c r="F1401" s="11" t="n">
        <v>79.2</v>
      </c>
      <c r="G1401" s="11" t="n">
        <v>40.6</v>
      </c>
      <c r="H1401" s="6" t="n">
        <v>29</v>
      </c>
      <c r="I1401" s="6" t="n">
        <v>331</v>
      </c>
      <c r="J1401" s="5" t="inlineStr">
        <is>
          <t>CA</t>
        </is>
      </c>
      <c r="K1401" s="5" t="inlineStr">
        <is>
          <t>SFR</t>
        </is>
      </c>
      <c r="L1401" s="5" t="inlineStr">
        <is>
          <t>Coastal Mortgage Co</t>
        </is>
      </c>
      <c r="M1401" s="5" t="inlineStr">
        <is>
          <t>Summit Loan Servicing</t>
        </is>
      </c>
    </row>
    <row r="1402">
      <c r="A1402" s="7" t="inlineStr">
        <is>
          <t>L101397</t>
        </is>
      </c>
      <c r="B1402" s="8" t="n">
        <v>227777.61</v>
      </c>
      <c r="C1402" s="8" t="n">
        <v>218391.71</v>
      </c>
      <c r="D1402" s="27" t="n">
        <v>5.534</v>
      </c>
      <c r="E1402" s="10" t="n">
        <v>701</v>
      </c>
      <c r="F1402" s="12" t="n">
        <v>88.09999999999999</v>
      </c>
      <c r="G1402" s="12" t="n">
        <v>43.3</v>
      </c>
      <c r="H1402" s="10" t="n">
        <v>35</v>
      </c>
      <c r="I1402" s="10" t="n">
        <v>325</v>
      </c>
      <c r="J1402" s="7" t="inlineStr">
        <is>
          <t>GA</t>
        </is>
      </c>
      <c r="K1402" s="7" t="inlineStr">
        <is>
          <t>SFR</t>
        </is>
      </c>
      <c r="L1402" s="7" t="inlineStr">
        <is>
          <t>Coastal Mortgage Co</t>
        </is>
      </c>
      <c r="M1402" s="7" t="inlineStr">
        <is>
          <t>Summit Loan Servicing</t>
        </is>
      </c>
    </row>
    <row r="1403">
      <c r="A1403" s="5" t="inlineStr">
        <is>
          <t>L101398</t>
        </is>
      </c>
      <c r="B1403" s="16" t="n">
        <v>296986.3</v>
      </c>
      <c r="C1403" s="16" t="n">
        <v>295420.71</v>
      </c>
      <c r="D1403" s="26" t="n">
        <v>5.749</v>
      </c>
      <c r="E1403" s="6" t="n">
        <v>613</v>
      </c>
      <c r="F1403" s="11" t="n">
        <v>52.8</v>
      </c>
      <c r="G1403" s="11" t="n">
        <v>29.9</v>
      </c>
      <c r="H1403" s="6" t="n">
        <v>5</v>
      </c>
      <c r="I1403" s="6" t="n">
        <v>355</v>
      </c>
      <c r="J1403" s="5" t="inlineStr">
        <is>
          <t>OH</t>
        </is>
      </c>
      <c r="K1403" s="5" t="inlineStr">
        <is>
          <t>SFR</t>
        </is>
      </c>
      <c r="L1403" s="5" t="inlineStr">
        <is>
          <t>Meridian Home Loans</t>
        </is>
      </c>
      <c r="M1403" s="5" t="inlineStr">
        <is>
          <t>Summit Loan Servicing</t>
        </is>
      </c>
    </row>
    <row r="1404">
      <c r="A1404" s="7" t="inlineStr">
        <is>
          <t>L101399</t>
        </is>
      </c>
      <c r="B1404" s="8" t="n">
        <v>148236.34</v>
      </c>
      <c r="C1404" s="8" t="n">
        <v>144737.65</v>
      </c>
      <c r="D1404" s="27" t="n">
        <v>6.384</v>
      </c>
      <c r="E1404" s="10" t="n">
        <v>688</v>
      </c>
      <c r="F1404" s="12" t="n">
        <v>88.3</v>
      </c>
      <c r="G1404" s="12" t="n">
        <v>36.1</v>
      </c>
      <c r="H1404" s="10" t="n">
        <v>24</v>
      </c>
      <c r="I1404" s="10" t="n">
        <v>336</v>
      </c>
      <c r="J1404" s="7" t="inlineStr">
        <is>
          <t>IL</t>
        </is>
      </c>
      <c r="K1404" s="7" t="inlineStr">
        <is>
          <t>2-4 Unit</t>
        </is>
      </c>
      <c r="L1404" s="7" t="inlineStr">
        <is>
          <t>Apex Funding</t>
        </is>
      </c>
      <c r="M1404" s="7" t="inlineStr">
        <is>
          <t>Pier Asset Mgmt</t>
        </is>
      </c>
    </row>
    <row r="1405">
      <c r="A1405" s="5" t="inlineStr">
        <is>
          <t>L101400</t>
        </is>
      </c>
      <c r="B1405" s="16" t="n">
        <v>367282.2</v>
      </c>
      <c r="C1405" s="16" t="n">
        <v>306969.37</v>
      </c>
      <c r="D1405" s="26" t="n">
        <v>5.638</v>
      </c>
      <c r="E1405" s="6" t="n">
        <v>737</v>
      </c>
      <c r="F1405" s="11" t="n">
        <v>70.3</v>
      </c>
      <c r="G1405" s="11" t="n">
        <v>37.5</v>
      </c>
      <c r="H1405" s="6" t="n">
        <v>42</v>
      </c>
      <c r="I1405" s="6" t="n">
        <v>138</v>
      </c>
      <c r="J1405" s="5" t="inlineStr">
        <is>
          <t>GA</t>
        </is>
      </c>
      <c r="K1405" s="5" t="inlineStr">
        <is>
          <t>Condo</t>
        </is>
      </c>
      <c r="L1405" s="5" t="inlineStr">
        <is>
          <t>Meridian Home Loans</t>
        </is>
      </c>
      <c r="M1405" s="5" t="inlineStr">
        <is>
          <t>Northgate Servicing</t>
        </is>
      </c>
    </row>
    <row r="1406">
      <c r="A1406" s="7" t="inlineStr">
        <is>
          <t>L101401</t>
        </is>
      </c>
      <c r="B1406" s="8" t="n">
        <v>216772.85</v>
      </c>
      <c r="C1406" s="8" t="n">
        <v>213343.86</v>
      </c>
      <c r="D1406" s="27" t="n">
        <v>7.196</v>
      </c>
      <c r="E1406" s="10" t="n">
        <v>760</v>
      </c>
      <c r="F1406" s="12" t="n">
        <v>82.8</v>
      </c>
      <c r="G1406" s="12" t="n">
        <v>48.4</v>
      </c>
      <c r="H1406" s="10" t="n">
        <v>19</v>
      </c>
      <c r="I1406" s="10" t="n">
        <v>341</v>
      </c>
      <c r="J1406" s="7" t="inlineStr">
        <is>
          <t>AZ</t>
        </is>
      </c>
      <c r="K1406" s="7" t="inlineStr">
        <is>
          <t>Multifamily</t>
        </is>
      </c>
      <c r="L1406" s="7" t="inlineStr">
        <is>
          <t>Apex Funding</t>
        </is>
      </c>
      <c r="M1406" s="7" t="inlineStr">
        <is>
          <t>Summit Loan Servicing</t>
        </is>
      </c>
    </row>
    <row r="1407">
      <c r="A1407" s="5" t="inlineStr">
        <is>
          <t>L101402</t>
        </is>
      </c>
      <c r="B1407" s="16" t="n">
        <v>226064.51</v>
      </c>
      <c r="C1407" s="16" t="n">
        <v>188674.26</v>
      </c>
      <c r="D1407" s="26" t="n">
        <v>5.919</v>
      </c>
      <c r="E1407" s="6" t="n">
        <v>676</v>
      </c>
      <c r="F1407" s="11" t="n">
        <v>58.1</v>
      </c>
      <c r="G1407" s="11" t="n">
        <v>24.1</v>
      </c>
      <c r="H1407" s="6" t="n">
        <v>43</v>
      </c>
      <c r="I1407" s="6" t="n">
        <v>137</v>
      </c>
      <c r="J1407" s="5" t="inlineStr">
        <is>
          <t>IL</t>
        </is>
      </c>
      <c r="K1407" s="5" t="inlineStr">
        <is>
          <t>Condo</t>
        </is>
      </c>
      <c r="L1407" s="5" t="inlineStr">
        <is>
          <t>Apex Funding</t>
        </is>
      </c>
      <c r="M1407" s="5" t="inlineStr">
        <is>
          <t>Pier Asset Mgmt</t>
        </is>
      </c>
    </row>
    <row r="1408">
      <c r="A1408" s="7" t="inlineStr">
        <is>
          <t>L101403</t>
        </is>
      </c>
      <c r="B1408" s="8" t="n">
        <v>204417.66</v>
      </c>
      <c r="C1408" s="8" t="n">
        <v>203395.34</v>
      </c>
      <c r="D1408" s="27" t="n">
        <v>6.989</v>
      </c>
      <c r="E1408" s="10" t="n">
        <v>773</v>
      </c>
      <c r="F1408" s="12" t="n">
        <v>74.09999999999999</v>
      </c>
      <c r="G1408" s="12" t="n">
        <v>28.7</v>
      </c>
      <c r="H1408" s="10" t="n">
        <v>6</v>
      </c>
      <c r="I1408" s="10" t="n">
        <v>354</v>
      </c>
      <c r="J1408" s="7" t="inlineStr">
        <is>
          <t>IL</t>
        </is>
      </c>
      <c r="K1408" s="7" t="inlineStr">
        <is>
          <t>SFR</t>
        </is>
      </c>
      <c r="L1408" s="7" t="inlineStr">
        <is>
          <t>Apex Funding</t>
        </is>
      </c>
      <c r="M1408" s="7" t="inlineStr">
        <is>
          <t>Northgate Servicing</t>
        </is>
      </c>
    </row>
    <row r="1409">
      <c r="A1409" s="5" t="inlineStr">
        <is>
          <t>L101404</t>
        </is>
      </c>
      <c r="B1409" s="16" t="n">
        <v>198148.5</v>
      </c>
      <c r="C1409" s="16" t="n">
        <v>186226.15</v>
      </c>
      <c r="D1409" s="26" t="n">
        <v>5.204</v>
      </c>
      <c r="E1409" s="6" t="n">
        <v>632</v>
      </c>
      <c r="F1409" s="11" t="n">
        <v>76.8</v>
      </c>
      <c r="G1409" s="11" t="n">
        <v>55</v>
      </c>
      <c r="H1409" s="6" t="n">
        <v>47</v>
      </c>
      <c r="I1409" s="6" t="n">
        <v>313</v>
      </c>
      <c r="J1409" s="5" t="inlineStr">
        <is>
          <t>IL</t>
        </is>
      </c>
      <c r="K1409" s="5" t="inlineStr">
        <is>
          <t>SFR</t>
        </is>
      </c>
      <c r="L1409" s="5" t="inlineStr">
        <is>
          <t>Highline Capital</t>
        </is>
      </c>
      <c r="M1409" s="5" t="inlineStr">
        <is>
          <t>Northgate Servicing</t>
        </is>
      </c>
    </row>
    <row r="1410">
      <c r="A1410" s="7" t="inlineStr">
        <is>
          <t>L101405</t>
        </is>
      </c>
      <c r="B1410" s="8" t="n">
        <v>309630.43</v>
      </c>
      <c r="C1410" s="8" t="n">
        <v>294203.07</v>
      </c>
      <c r="D1410" s="27" t="n">
        <v>4.774</v>
      </c>
      <c r="E1410" s="10" t="n">
        <v>646</v>
      </c>
      <c r="F1410" s="12" t="n">
        <v>87.90000000000001</v>
      </c>
      <c r="G1410" s="12" t="n">
        <v>33.8</v>
      </c>
      <c r="H1410" s="10" t="n">
        <v>37</v>
      </c>
      <c r="I1410" s="10" t="n">
        <v>323</v>
      </c>
      <c r="J1410" s="7" t="inlineStr">
        <is>
          <t>OH</t>
        </is>
      </c>
      <c r="K1410" s="7" t="inlineStr">
        <is>
          <t>SFR</t>
        </is>
      </c>
      <c r="L1410" s="7" t="inlineStr">
        <is>
          <t>Highline Capital</t>
        </is>
      </c>
      <c r="M1410" s="7" t="inlineStr">
        <is>
          <t>Summit Loan Servicing</t>
        </is>
      </c>
    </row>
    <row r="1411">
      <c r="A1411" s="5" t="inlineStr">
        <is>
          <t>L101406</t>
        </is>
      </c>
      <c r="B1411" s="16" t="n">
        <v>265552.38</v>
      </c>
      <c r="C1411" s="16" t="n">
        <v>257310.98</v>
      </c>
      <c r="D1411" s="26" t="n">
        <v>6.194</v>
      </c>
      <c r="E1411" s="6" t="n">
        <v>754</v>
      </c>
      <c r="F1411" s="11" t="n">
        <v>55</v>
      </c>
      <c r="G1411" s="11" t="n">
        <v>20.9</v>
      </c>
      <c r="H1411" s="6" t="n">
        <v>30</v>
      </c>
      <c r="I1411" s="6" t="n">
        <v>330</v>
      </c>
      <c r="J1411" s="5" t="inlineStr">
        <is>
          <t>IL</t>
        </is>
      </c>
      <c r="K1411" s="5" t="inlineStr">
        <is>
          <t>SFR</t>
        </is>
      </c>
      <c r="L1411" s="5" t="inlineStr">
        <is>
          <t>Coastal Mortgage Co</t>
        </is>
      </c>
      <c r="M1411" s="5" t="inlineStr">
        <is>
          <t>Northgate Servicing</t>
        </is>
      </c>
    </row>
    <row r="1412">
      <c r="A1412" s="7" t="inlineStr">
        <is>
          <t>L101407</t>
        </is>
      </c>
      <c r="B1412" s="8" t="n">
        <v>305013.66</v>
      </c>
      <c r="C1412" s="8" t="n">
        <v>293303.93</v>
      </c>
      <c r="D1412" s="27" t="n">
        <v>4.988</v>
      </c>
      <c r="E1412" s="10" t="n">
        <v>807</v>
      </c>
      <c r="F1412" s="12" t="n">
        <v>74.40000000000001</v>
      </c>
      <c r="G1412" s="12" t="n">
        <v>31.3</v>
      </c>
      <c r="H1412" s="10" t="n">
        <v>30</v>
      </c>
      <c r="I1412" s="10" t="n">
        <v>330</v>
      </c>
      <c r="J1412" s="7" t="inlineStr">
        <is>
          <t>NY</t>
        </is>
      </c>
      <c r="K1412" s="7" t="inlineStr">
        <is>
          <t>SFR</t>
        </is>
      </c>
      <c r="L1412" s="7" t="inlineStr">
        <is>
          <t>Apex Funding</t>
        </is>
      </c>
      <c r="M1412" s="7" t="inlineStr">
        <is>
          <t>Northgate Servicing</t>
        </is>
      </c>
    </row>
    <row r="1413">
      <c r="A1413" s="5" t="inlineStr">
        <is>
          <t>L101408</t>
        </is>
      </c>
      <c r="B1413" s="16" t="n">
        <v>242055.39</v>
      </c>
      <c r="C1413" s="16" t="n">
        <v>233192.85</v>
      </c>
      <c r="D1413" s="26" t="n">
        <v>7.766</v>
      </c>
      <c r="E1413" s="6" t="n">
        <v>742</v>
      </c>
      <c r="F1413" s="11" t="n">
        <v>61</v>
      </c>
      <c r="G1413" s="11" t="n">
        <v>13.8</v>
      </c>
      <c r="H1413" s="6" t="n">
        <v>45</v>
      </c>
      <c r="I1413" s="6" t="n">
        <v>315</v>
      </c>
      <c r="J1413" s="5" t="inlineStr">
        <is>
          <t>GA</t>
        </is>
      </c>
      <c r="K1413" s="5" t="inlineStr">
        <is>
          <t>SFR</t>
        </is>
      </c>
      <c r="L1413" s="5" t="inlineStr">
        <is>
          <t>Highline Capital</t>
        </is>
      </c>
      <c r="M1413" s="5" t="inlineStr">
        <is>
          <t>Northgate Servicing</t>
        </is>
      </c>
    </row>
    <row r="1414">
      <c r="A1414" s="7" t="inlineStr">
        <is>
          <t>L101409</t>
        </is>
      </c>
      <c r="B1414" s="8" t="n">
        <v>290575.85</v>
      </c>
      <c r="C1414" s="8" t="n">
        <v>284090.29</v>
      </c>
      <c r="D1414" s="27" t="n">
        <v>5.023</v>
      </c>
      <c r="E1414" s="10" t="n">
        <v>713</v>
      </c>
      <c r="F1414" s="12" t="n">
        <v>80.09999999999999</v>
      </c>
      <c r="G1414" s="12" t="n">
        <v>37.9</v>
      </c>
      <c r="H1414" s="10" t="n">
        <v>18</v>
      </c>
      <c r="I1414" s="10" t="n">
        <v>342</v>
      </c>
      <c r="J1414" s="7" t="inlineStr">
        <is>
          <t>NC</t>
        </is>
      </c>
      <c r="K1414" s="7" t="inlineStr">
        <is>
          <t>SFR</t>
        </is>
      </c>
      <c r="L1414" s="7" t="inlineStr">
        <is>
          <t>Highline Capital</t>
        </is>
      </c>
      <c r="M1414" s="7" t="inlineStr">
        <is>
          <t>Northgate Servicing</t>
        </is>
      </c>
    </row>
    <row r="1415">
      <c r="A1415" s="5" t="inlineStr">
        <is>
          <t>L101410</t>
        </is>
      </c>
      <c r="B1415" s="16" t="n">
        <v>209693.65</v>
      </c>
      <c r="C1415" s="16" t="n">
        <v>207815.97</v>
      </c>
      <c r="D1415" s="26" t="n">
        <v>5.466</v>
      </c>
      <c r="E1415" s="6" t="n">
        <v>594</v>
      </c>
      <c r="F1415" s="11" t="n">
        <v>83.3</v>
      </c>
      <c r="G1415" s="11" t="n">
        <v>42.5</v>
      </c>
      <c r="H1415" s="6" t="n">
        <v>8</v>
      </c>
      <c r="I1415" s="6" t="n">
        <v>352</v>
      </c>
      <c r="J1415" s="5" t="inlineStr">
        <is>
          <t>WA</t>
        </is>
      </c>
      <c r="K1415" s="5" t="inlineStr">
        <is>
          <t>2-4 Unit</t>
        </is>
      </c>
      <c r="L1415" s="5" t="inlineStr">
        <is>
          <t>Apex Funding</t>
        </is>
      </c>
      <c r="M1415" s="5" t="inlineStr">
        <is>
          <t>Northgate Servicing</t>
        </is>
      </c>
    </row>
    <row r="1416">
      <c r="A1416" s="7" t="inlineStr">
        <is>
          <t>L101411</t>
        </is>
      </c>
      <c r="B1416" s="8" t="n">
        <v>529880.16</v>
      </c>
      <c r="C1416" s="8" t="n">
        <v>507264.67</v>
      </c>
      <c r="D1416" s="27" t="n">
        <v>6.772</v>
      </c>
      <c r="E1416" s="10" t="n">
        <v>604</v>
      </c>
      <c r="F1416" s="12" t="n">
        <v>89.40000000000001</v>
      </c>
      <c r="G1416" s="12" t="n">
        <v>28.7</v>
      </c>
      <c r="H1416" s="10" t="n">
        <v>44</v>
      </c>
      <c r="I1416" s="10" t="n">
        <v>316</v>
      </c>
      <c r="J1416" s="7" t="inlineStr">
        <is>
          <t>OH</t>
        </is>
      </c>
      <c r="K1416" s="7" t="inlineStr">
        <is>
          <t>SFR</t>
        </is>
      </c>
      <c r="L1416" s="7" t="inlineStr">
        <is>
          <t>Meridian Home Loans</t>
        </is>
      </c>
      <c r="M1416" s="7" t="inlineStr">
        <is>
          <t>Pier Asset Mgmt</t>
        </is>
      </c>
    </row>
    <row r="1417">
      <c r="A1417" s="5" t="inlineStr">
        <is>
          <t>L101412</t>
        </is>
      </c>
      <c r="B1417" s="16" t="n">
        <v>140255.97</v>
      </c>
      <c r="C1417" s="16" t="n">
        <v>137794.17</v>
      </c>
      <c r="D1417" s="26" t="n">
        <v>5.872</v>
      </c>
      <c r="E1417" s="6" t="n">
        <v>722</v>
      </c>
      <c r="F1417" s="11" t="n">
        <v>67.59999999999999</v>
      </c>
      <c r="G1417" s="11" t="n">
        <v>32.2</v>
      </c>
      <c r="H1417" s="6" t="n">
        <v>5</v>
      </c>
      <c r="I1417" s="6" t="n">
        <v>175</v>
      </c>
      <c r="J1417" s="5" t="inlineStr">
        <is>
          <t>AZ</t>
        </is>
      </c>
      <c r="K1417" s="5" t="inlineStr">
        <is>
          <t>SFR</t>
        </is>
      </c>
      <c r="L1417" s="5" t="inlineStr">
        <is>
          <t>Coastal Mortgage Co</t>
        </is>
      </c>
      <c r="M1417" s="5" t="inlineStr">
        <is>
          <t>Pier Asset Mgmt</t>
        </is>
      </c>
    </row>
    <row r="1418">
      <c r="A1418" s="7" t="inlineStr">
        <is>
          <t>L101413</t>
        </is>
      </c>
      <c r="B1418" s="8" t="n">
        <v>377500.84</v>
      </c>
      <c r="C1418" s="8" t="n">
        <v>362096.02</v>
      </c>
      <c r="D1418" s="27" t="n">
        <v>5.033</v>
      </c>
      <c r="E1418" s="10" t="n">
        <v>695</v>
      </c>
      <c r="F1418" s="12" t="n">
        <v>85.09999999999999</v>
      </c>
      <c r="G1418" s="12" t="n">
        <v>43.4</v>
      </c>
      <c r="H1418" s="10" t="n">
        <v>32</v>
      </c>
      <c r="I1418" s="10" t="n">
        <v>328</v>
      </c>
      <c r="J1418" s="7" t="inlineStr">
        <is>
          <t>AZ</t>
        </is>
      </c>
      <c r="K1418" s="7" t="inlineStr">
        <is>
          <t>Condo</t>
        </is>
      </c>
      <c r="L1418" s="7" t="inlineStr">
        <is>
          <t>Highline Capital</t>
        </is>
      </c>
      <c r="M1418" s="7" t="inlineStr">
        <is>
          <t>Northgate Servicing</t>
        </is>
      </c>
    </row>
    <row r="1419">
      <c r="A1419" s="5" t="inlineStr">
        <is>
          <t>L101414</t>
        </is>
      </c>
      <c r="B1419" s="16" t="n">
        <v>391902.2</v>
      </c>
      <c r="C1419" s="16" t="n">
        <v>388506.56</v>
      </c>
      <c r="D1419" s="26" t="n">
        <v>8.236000000000001</v>
      </c>
      <c r="E1419" s="6" t="n">
        <v>654</v>
      </c>
      <c r="F1419" s="11" t="n">
        <v>90.3</v>
      </c>
      <c r="G1419" s="11" t="n">
        <v>22</v>
      </c>
      <c r="H1419" s="6" t="n">
        <v>13</v>
      </c>
      <c r="I1419" s="6" t="n">
        <v>347</v>
      </c>
      <c r="J1419" s="5" t="inlineStr">
        <is>
          <t>IL</t>
        </is>
      </c>
      <c r="K1419" s="5" t="inlineStr">
        <is>
          <t>SFR</t>
        </is>
      </c>
      <c r="L1419" s="5" t="inlineStr">
        <is>
          <t>Meridian Home Loans</t>
        </is>
      </c>
      <c r="M1419" s="5" t="inlineStr">
        <is>
          <t>Summit Loan Servicing</t>
        </is>
      </c>
    </row>
    <row r="1420">
      <c r="A1420" s="7" t="inlineStr">
        <is>
          <t>L101415</t>
        </is>
      </c>
      <c r="B1420" s="8" t="n">
        <v>180185.91</v>
      </c>
      <c r="C1420" s="8" t="n">
        <v>170593.76</v>
      </c>
      <c r="D1420" s="27" t="n">
        <v>5.499</v>
      </c>
      <c r="E1420" s="10" t="n">
        <v>719</v>
      </c>
      <c r="F1420" s="12" t="n">
        <v>54.3</v>
      </c>
      <c r="G1420" s="12" t="n">
        <v>25.4</v>
      </c>
      <c r="H1420" s="10" t="n">
        <v>44</v>
      </c>
      <c r="I1420" s="10" t="n">
        <v>316</v>
      </c>
      <c r="J1420" s="7" t="inlineStr">
        <is>
          <t>NY</t>
        </is>
      </c>
      <c r="K1420" s="7" t="inlineStr">
        <is>
          <t>SFR</t>
        </is>
      </c>
      <c r="L1420" s="7" t="inlineStr">
        <is>
          <t>Apex Funding</t>
        </is>
      </c>
      <c r="M1420" s="7" t="inlineStr">
        <is>
          <t>Summit Loan Servicing</t>
        </is>
      </c>
    </row>
    <row r="1421">
      <c r="A1421" s="5" t="inlineStr">
        <is>
          <t>L101416</t>
        </is>
      </c>
      <c r="B1421" s="16" t="n">
        <v>529795.1800000001</v>
      </c>
      <c r="C1421" s="16" t="n">
        <v>437210.93</v>
      </c>
      <c r="D1421" s="26" t="n">
        <v>6.223</v>
      </c>
      <c r="E1421" s="6" t="n">
        <v>721</v>
      </c>
      <c r="F1421" s="11" t="n">
        <v>81.3</v>
      </c>
      <c r="G1421" s="11" t="n">
        <v>34.2</v>
      </c>
      <c r="H1421" s="6" t="n">
        <v>46</v>
      </c>
      <c r="I1421" s="6" t="n">
        <v>134</v>
      </c>
      <c r="J1421" s="5" t="inlineStr">
        <is>
          <t>GA</t>
        </is>
      </c>
      <c r="K1421" s="5" t="inlineStr">
        <is>
          <t>SFR</t>
        </is>
      </c>
      <c r="L1421" s="5" t="inlineStr">
        <is>
          <t>Apex Funding</t>
        </is>
      </c>
      <c r="M1421" s="5" t="inlineStr">
        <is>
          <t>Summit Loan Servicing</t>
        </is>
      </c>
    </row>
    <row r="1422">
      <c r="A1422" s="7" t="inlineStr">
        <is>
          <t>L101417</t>
        </is>
      </c>
      <c r="B1422" s="8" t="n">
        <v>344008.48</v>
      </c>
      <c r="C1422" s="8" t="n">
        <v>335999.26</v>
      </c>
      <c r="D1422" s="27" t="n">
        <v>6.212</v>
      </c>
      <c r="E1422" s="10" t="n">
        <v>767</v>
      </c>
      <c r="F1422" s="12" t="n">
        <v>85.5</v>
      </c>
      <c r="G1422" s="12" t="n">
        <v>30</v>
      </c>
      <c r="H1422" s="10" t="n">
        <v>23</v>
      </c>
      <c r="I1422" s="10" t="n">
        <v>337</v>
      </c>
      <c r="J1422" s="7" t="inlineStr">
        <is>
          <t>AZ</t>
        </is>
      </c>
      <c r="K1422" s="7" t="inlineStr">
        <is>
          <t>Condo</t>
        </is>
      </c>
      <c r="L1422" s="7" t="inlineStr">
        <is>
          <t>Meridian Home Loans</t>
        </is>
      </c>
      <c r="M1422" s="7" t="inlineStr">
        <is>
          <t>Summit Loan Servicing</t>
        </is>
      </c>
    </row>
    <row r="1423">
      <c r="A1423" s="5" t="inlineStr">
        <is>
          <t>L101418</t>
        </is>
      </c>
      <c r="B1423" s="16" t="n">
        <v>341088.98</v>
      </c>
      <c r="C1423" s="16" t="n">
        <v>311060.8</v>
      </c>
      <c r="D1423" s="26" t="n">
        <v>7.039</v>
      </c>
      <c r="E1423" s="6" t="n">
        <v>723</v>
      </c>
      <c r="F1423" s="11" t="n">
        <v>70.90000000000001</v>
      </c>
      <c r="G1423" s="11" t="n">
        <v>33.6</v>
      </c>
      <c r="H1423" s="6" t="n">
        <v>26</v>
      </c>
      <c r="I1423" s="6" t="n">
        <v>154</v>
      </c>
      <c r="J1423" s="5" t="inlineStr">
        <is>
          <t>GA</t>
        </is>
      </c>
      <c r="K1423" s="5" t="inlineStr">
        <is>
          <t>2-4 Unit</t>
        </is>
      </c>
      <c r="L1423" s="5" t="inlineStr">
        <is>
          <t>Coastal Mortgage Co</t>
        </is>
      </c>
      <c r="M1423" s="5" t="inlineStr">
        <is>
          <t>Northgate Servicing</t>
        </is>
      </c>
    </row>
    <row r="1424">
      <c r="A1424" s="7" t="inlineStr">
        <is>
          <t>L101419</t>
        </is>
      </c>
      <c r="B1424" s="8" t="n">
        <v>245194.67</v>
      </c>
      <c r="C1424" s="8" t="n">
        <v>240325.93</v>
      </c>
      <c r="D1424" s="27" t="n">
        <v>6.816</v>
      </c>
      <c r="E1424" s="10" t="n">
        <v>783</v>
      </c>
      <c r="F1424" s="12" t="n">
        <v>59.5</v>
      </c>
      <c r="G1424" s="12" t="n">
        <v>25.9</v>
      </c>
      <c r="H1424" s="10" t="n">
        <v>22</v>
      </c>
      <c r="I1424" s="10" t="n">
        <v>338</v>
      </c>
      <c r="J1424" s="7" t="inlineStr">
        <is>
          <t>FL</t>
        </is>
      </c>
      <c r="K1424" s="7" t="inlineStr">
        <is>
          <t>SFR</t>
        </is>
      </c>
      <c r="L1424" s="7" t="inlineStr">
        <is>
          <t>Highline Capital</t>
        </is>
      </c>
      <c r="M1424" s="7" t="inlineStr">
        <is>
          <t>Summit Loan Servicing</t>
        </is>
      </c>
    </row>
    <row r="1425">
      <c r="A1425" s="5" t="inlineStr">
        <is>
          <t>L101420</t>
        </is>
      </c>
      <c r="B1425" s="16" t="n">
        <v>225025.91</v>
      </c>
      <c r="C1425" s="16" t="n">
        <v>220022.32</v>
      </c>
      <c r="D1425" s="26" t="n">
        <v>5.656</v>
      </c>
      <c r="E1425" s="6" t="n">
        <v>715</v>
      </c>
      <c r="F1425" s="11" t="n">
        <v>85.3</v>
      </c>
      <c r="G1425" s="11" t="n">
        <v>37.7</v>
      </c>
      <c r="H1425" s="6" t="n">
        <v>20</v>
      </c>
      <c r="I1425" s="6" t="n">
        <v>340</v>
      </c>
      <c r="J1425" s="5" t="inlineStr">
        <is>
          <t>CA</t>
        </is>
      </c>
      <c r="K1425" s="5" t="inlineStr">
        <is>
          <t>SFR</t>
        </is>
      </c>
      <c r="L1425" s="5" t="inlineStr">
        <is>
          <t>Apex Funding</t>
        </is>
      </c>
      <c r="M1425" s="5" t="inlineStr">
        <is>
          <t>Summit Loan Servicing</t>
        </is>
      </c>
    </row>
    <row r="1426">
      <c r="A1426" s="7" t="inlineStr">
        <is>
          <t>L101421</t>
        </is>
      </c>
      <c r="B1426" s="8" t="n">
        <v>225642.44</v>
      </c>
      <c r="C1426" s="8" t="n">
        <v>214545.14</v>
      </c>
      <c r="D1426" s="27" t="n">
        <v>6.107</v>
      </c>
      <c r="E1426" s="10" t="n">
        <v>709</v>
      </c>
      <c r="F1426" s="12" t="n">
        <v>59.6</v>
      </c>
      <c r="G1426" s="12" t="n">
        <v>34.8</v>
      </c>
      <c r="H1426" s="10" t="n">
        <v>45</v>
      </c>
      <c r="I1426" s="10" t="n">
        <v>315</v>
      </c>
      <c r="J1426" s="7" t="inlineStr">
        <is>
          <t>CA</t>
        </is>
      </c>
      <c r="K1426" s="7" t="inlineStr">
        <is>
          <t>SFR</t>
        </is>
      </c>
      <c r="L1426" s="7" t="inlineStr">
        <is>
          <t>Highline Capital</t>
        </is>
      </c>
      <c r="M1426" s="7" t="inlineStr">
        <is>
          <t>Pier Asset Mgmt</t>
        </is>
      </c>
    </row>
    <row r="1427">
      <c r="A1427" s="5" t="inlineStr">
        <is>
          <t>L101422</t>
        </is>
      </c>
      <c r="B1427" s="16" t="n">
        <v>278364.23</v>
      </c>
      <c r="C1427" s="16" t="n">
        <v>274499.81</v>
      </c>
      <c r="D1427" s="26" t="n">
        <v>6.196</v>
      </c>
      <c r="E1427" s="6" t="n">
        <v>774</v>
      </c>
      <c r="F1427" s="11" t="n">
        <v>71.90000000000001</v>
      </c>
      <c r="G1427" s="11" t="n">
        <v>40.4</v>
      </c>
      <c r="H1427" s="6" t="n">
        <v>14</v>
      </c>
      <c r="I1427" s="6" t="n">
        <v>346</v>
      </c>
      <c r="J1427" s="5" t="inlineStr">
        <is>
          <t>IL</t>
        </is>
      </c>
      <c r="K1427" s="5" t="inlineStr">
        <is>
          <t>SFR</t>
        </is>
      </c>
      <c r="L1427" s="5" t="inlineStr">
        <is>
          <t>Coastal Mortgage Co</t>
        </is>
      </c>
      <c r="M1427" s="5" t="inlineStr">
        <is>
          <t>Summit Loan Servicing</t>
        </is>
      </c>
    </row>
    <row r="1428">
      <c r="A1428" s="7" t="inlineStr">
        <is>
          <t>L101423</t>
        </is>
      </c>
      <c r="B1428" s="8" t="n">
        <v>396493.61</v>
      </c>
      <c r="C1428" s="8" t="n">
        <v>379626.05</v>
      </c>
      <c r="D1428" s="27" t="n">
        <v>7.074</v>
      </c>
      <c r="E1428" s="10" t="n">
        <v>661</v>
      </c>
      <c r="F1428" s="12" t="n">
        <v>73.5</v>
      </c>
      <c r="G1428" s="12" t="n">
        <v>37.6</v>
      </c>
      <c r="H1428" s="10" t="n">
        <v>46</v>
      </c>
      <c r="I1428" s="10" t="n">
        <v>314</v>
      </c>
      <c r="J1428" s="7" t="inlineStr">
        <is>
          <t>AZ</t>
        </is>
      </c>
      <c r="K1428" s="7" t="inlineStr">
        <is>
          <t>Condo</t>
        </is>
      </c>
      <c r="L1428" s="7" t="inlineStr">
        <is>
          <t>Highline Capital</t>
        </is>
      </c>
      <c r="M1428" s="7" t="inlineStr">
        <is>
          <t>Pier Asset Mgmt</t>
        </is>
      </c>
    </row>
    <row r="1429">
      <c r="A1429" s="5" t="inlineStr">
        <is>
          <t>L101424</t>
        </is>
      </c>
      <c r="B1429" s="16" t="n">
        <v>258709.21</v>
      </c>
      <c r="C1429" s="16" t="n">
        <v>249047.93</v>
      </c>
      <c r="D1429" s="26" t="n">
        <v>5.349</v>
      </c>
      <c r="E1429" s="6" t="n">
        <v>820</v>
      </c>
      <c r="F1429" s="11" t="n">
        <v>82.59999999999999</v>
      </c>
      <c r="G1429" s="11" t="n">
        <v>37.7</v>
      </c>
      <c r="H1429" s="6" t="n">
        <v>31</v>
      </c>
      <c r="I1429" s="6" t="n">
        <v>329</v>
      </c>
      <c r="J1429" s="5" t="inlineStr">
        <is>
          <t>AZ</t>
        </is>
      </c>
      <c r="K1429" s="5" t="inlineStr">
        <is>
          <t>Condo</t>
        </is>
      </c>
      <c r="L1429" s="5" t="inlineStr">
        <is>
          <t>Apex Funding</t>
        </is>
      </c>
      <c r="M1429" s="5" t="inlineStr">
        <is>
          <t>Summit Loan Servicing</t>
        </is>
      </c>
    </row>
    <row r="1430">
      <c r="A1430" s="7" t="inlineStr">
        <is>
          <t>L101425</t>
        </is>
      </c>
      <c r="B1430" s="8" t="n">
        <v>176485.63</v>
      </c>
      <c r="C1430" s="8" t="n">
        <v>170382.78</v>
      </c>
      <c r="D1430" s="27" t="n">
        <v>8.215999999999999</v>
      </c>
      <c r="E1430" s="10" t="n">
        <v>736</v>
      </c>
      <c r="F1430" s="12" t="n">
        <v>66.5</v>
      </c>
      <c r="G1430" s="12" t="n">
        <v>24.4</v>
      </c>
      <c r="H1430" s="10" t="n">
        <v>46</v>
      </c>
      <c r="I1430" s="10" t="n">
        <v>314</v>
      </c>
      <c r="J1430" s="7" t="inlineStr">
        <is>
          <t>OH</t>
        </is>
      </c>
      <c r="K1430" s="7" t="inlineStr">
        <is>
          <t>Condo</t>
        </is>
      </c>
      <c r="L1430" s="7" t="inlineStr">
        <is>
          <t>Highline Capital</t>
        </is>
      </c>
      <c r="M1430" s="7" t="inlineStr">
        <is>
          <t>Northgate Servicing</t>
        </is>
      </c>
    </row>
    <row r="1431">
      <c r="A1431" s="5" t="inlineStr">
        <is>
          <t>L101426</t>
        </is>
      </c>
      <c r="B1431" s="16" t="n">
        <v>324016.42</v>
      </c>
      <c r="C1431" s="16" t="n">
        <v>313456.76</v>
      </c>
      <c r="D1431" s="26" t="n">
        <v>5.717</v>
      </c>
      <c r="E1431" s="6" t="n">
        <v>736</v>
      </c>
      <c r="F1431" s="11" t="n">
        <v>65.8</v>
      </c>
      <c r="G1431" s="11" t="n">
        <v>39.9</v>
      </c>
      <c r="H1431" s="6" t="n">
        <v>29</v>
      </c>
      <c r="I1431" s="6" t="n">
        <v>331</v>
      </c>
      <c r="J1431" s="5" t="inlineStr">
        <is>
          <t>AZ</t>
        </is>
      </c>
      <c r="K1431" s="5" t="inlineStr">
        <is>
          <t>Multifamily</t>
        </is>
      </c>
      <c r="L1431" s="5" t="inlineStr">
        <is>
          <t>Coastal Mortgage Co</t>
        </is>
      </c>
      <c r="M1431" s="5" t="inlineStr">
        <is>
          <t>Summit Loan Servicing</t>
        </is>
      </c>
    </row>
    <row r="1432">
      <c r="A1432" s="7" t="inlineStr">
        <is>
          <t>L101427</t>
        </is>
      </c>
      <c r="B1432" s="8" t="n">
        <v>335173.22</v>
      </c>
      <c r="C1432" s="8" t="n">
        <v>321800.45</v>
      </c>
      <c r="D1432" s="27" t="n">
        <v>6.392</v>
      </c>
      <c r="E1432" s="10" t="n">
        <v>744</v>
      </c>
      <c r="F1432" s="12" t="n">
        <v>75.2</v>
      </c>
      <c r="G1432" s="12" t="n">
        <v>33.4</v>
      </c>
      <c r="H1432" s="10" t="n">
        <v>39</v>
      </c>
      <c r="I1432" s="10" t="n">
        <v>321</v>
      </c>
      <c r="J1432" s="7" t="inlineStr">
        <is>
          <t>CA</t>
        </is>
      </c>
      <c r="K1432" s="7" t="inlineStr">
        <is>
          <t>SFR</t>
        </is>
      </c>
      <c r="L1432" s="7" t="inlineStr">
        <is>
          <t>Coastal Mortgage Co</t>
        </is>
      </c>
      <c r="M1432" s="7" t="inlineStr">
        <is>
          <t>Northgate Servicing</t>
        </is>
      </c>
    </row>
    <row r="1433">
      <c r="A1433" s="5" t="inlineStr">
        <is>
          <t>L101428</t>
        </is>
      </c>
      <c r="B1433" s="16" t="n">
        <v>305324.63</v>
      </c>
      <c r="C1433" s="16" t="n">
        <v>296647.09</v>
      </c>
      <c r="D1433" s="26" t="n">
        <v>5.356</v>
      </c>
      <c r="E1433" s="6" t="n">
        <v>818</v>
      </c>
      <c r="F1433" s="11" t="n">
        <v>86.09999999999999</v>
      </c>
      <c r="G1433" s="11" t="n">
        <v>34.7</v>
      </c>
      <c r="H1433" s="6" t="n">
        <v>24</v>
      </c>
      <c r="I1433" s="6" t="n">
        <v>336</v>
      </c>
      <c r="J1433" s="5" t="inlineStr">
        <is>
          <t>OH</t>
        </is>
      </c>
      <c r="K1433" s="5" t="inlineStr">
        <is>
          <t>2-4 Unit</t>
        </is>
      </c>
      <c r="L1433" s="5" t="inlineStr">
        <is>
          <t>Meridian Home Loans</t>
        </is>
      </c>
      <c r="M1433" s="5" t="inlineStr">
        <is>
          <t>Summit Loan Servicing</t>
        </is>
      </c>
    </row>
    <row r="1434">
      <c r="A1434" s="7" t="inlineStr">
        <is>
          <t>L101429</t>
        </is>
      </c>
      <c r="B1434" s="8" t="n">
        <v>315188.02</v>
      </c>
      <c r="C1434" s="8" t="n">
        <v>306831.38</v>
      </c>
      <c r="D1434" s="27" t="n">
        <v>5.232</v>
      </c>
      <c r="E1434" s="10" t="n">
        <v>759</v>
      </c>
      <c r="F1434" s="12" t="n">
        <v>97</v>
      </c>
      <c r="G1434" s="12" t="n">
        <v>44.4</v>
      </c>
      <c r="H1434" s="10" t="n">
        <v>22</v>
      </c>
      <c r="I1434" s="10" t="n">
        <v>338</v>
      </c>
      <c r="J1434" s="7" t="inlineStr">
        <is>
          <t>WA</t>
        </is>
      </c>
      <c r="K1434" s="7" t="inlineStr">
        <is>
          <t>SFR</t>
        </is>
      </c>
      <c r="L1434" s="7" t="inlineStr">
        <is>
          <t>Meridian Home Loans</t>
        </is>
      </c>
      <c r="M1434" s="7" t="inlineStr">
        <is>
          <t>Summit Loan Servicing</t>
        </is>
      </c>
    </row>
    <row r="1435">
      <c r="A1435" s="5" t="inlineStr">
        <is>
          <t>L101430</t>
        </is>
      </c>
      <c r="B1435" s="16" t="n">
        <v>220835.9</v>
      </c>
      <c r="C1435" s="16" t="n">
        <v>217671.96</v>
      </c>
      <c r="D1435" s="26" t="n">
        <v>5.613</v>
      </c>
      <c r="E1435" s="6" t="n">
        <v>627</v>
      </c>
      <c r="F1435" s="11" t="n">
        <v>55.9</v>
      </c>
      <c r="G1435" s="11" t="n">
        <v>30.2</v>
      </c>
      <c r="H1435" s="6" t="n">
        <v>13</v>
      </c>
      <c r="I1435" s="6" t="n">
        <v>347</v>
      </c>
      <c r="J1435" s="5" t="inlineStr">
        <is>
          <t>OH</t>
        </is>
      </c>
      <c r="K1435" s="5" t="inlineStr">
        <is>
          <t>SFR</t>
        </is>
      </c>
      <c r="L1435" s="5" t="inlineStr">
        <is>
          <t>Meridian Home Loans</t>
        </is>
      </c>
      <c r="M1435" s="5" t="inlineStr">
        <is>
          <t>Pier Asset Mgmt</t>
        </is>
      </c>
    </row>
    <row r="1436">
      <c r="A1436" s="7" t="inlineStr">
        <is>
          <t>L101431</t>
        </is>
      </c>
      <c r="B1436" s="8" t="n">
        <v>175405.16</v>
      </c>
      <c r="C1436" s="8" t="n">
        <v>173454.9</v>
      </c>
      <c r="D1436" s="27" t="n">
        <v>5.527</v>
      </c>
      <c r="E1436" s="10" t="n">
        <v>792</v>
      </c>
      <c r="F1436" s="12" t="n">
        <v>77.8</v>
      </c>
      <c r="G1436" s="12" t="n">
        <v>46.8</v>
      </c>
      <c r="H1436" s="10" t="n">
        <v>10</v>
      </c>
      <c r="I1436" s="10" t="n">
        <v>350</v>
      </c>
      <c r="J1436" s="7" t="inlineStr">
        <is>
          <t>IL</t>
        </is>
      </c>
      <c r="K1436" s="7" t="inlineStr">
        <is>
          <t>Condo</t>
        </is>
      </c>
      <c r="L1436" s="7" t="inlineStr">
        <is>
          <t>Meridian Home Loans</t>
        </is>
      </c>
      <c r="M1436" s="7" t="inlineStr">
        <is>
          <t>Pier Asset Mgmt</t>
        </is>
      </c>
    </row>
    <row r="1437">
      <c r="A1437" s="5" t="inlineStr">
        <is>
          <t>L101432</t>
        </is>
      </c>
      <c r="B1437" s="16" t="n">
        <v>179177.52</v>
      </c>
      <c r="C1437" s="16" t="n">
        <v>177945.03</v>
      </c>
      <c r="D1437" s="26" t="n">
        <v>6.027</v>
      </c>
      <c r="E1437" s="6" t="n">
        <v>696</v>
      </c>
      <c r="F1437" s="11" t="n">
        <v>61</v>
      </c>
      <c r="G1437" s="11" t="n">
        <v>47.6</v>
      </c>
      <c r="H1437" s="6" t="n">
        <v>2</v>
      </c>
      <c r="I1437" s="6" t="n">
        <v>178</v>
      </c>
      <c r="J1437" s="5" t="inlineStr">
        <is>
          <t>FL</t>
        </is>
      </c>
      <c r="K1437" s="5" t="inlineStr">
        <is>
          <t>Condo</t>
        </is>
      </c>
      <c r="L1437" s="5" t="inlineStr">
        <is>
          <t>Coastal Mortgage Co</t>
        </is>
      </c>
      <c r="M1437" s="5" t="inlineStr">
        <is>
          <t>Northgate Servicing</t>
        </is>
      </c>
    </row>
    <row r="1438">
      <c r="A1438" s="7" t="inlineStr">
        <is>
          <t>L101433</t>
        </is>
      </c>
      <c r="B1438" s="8" t="n">
        <v>136979.68</v>
      </c>
      <c r="C1438" s="8" t="n">
        <v>134020.52</v>
      </c>
      <c r="D1438" s="27" t="n">
        <v>5.519</v>
      </c>
      <c r="E1438" s="10" t="n">
        <v>721</v>
      </c>
      <c r="F1438" s="12" t="n">
        <v>86.2</v>
      </c>
      <c r="G1438" s="12" t="n">
        <v>42</v>
      </c>
      <c r="H1438" s="10" t="n">
        <v>19</v>
      </c>
      <c r="I1438" s="10" t="n">
        <v>341</v>
      </c>
      <c r="J1438" s="7" t="inlineStr">
        <is>
          <t>WA</t>
        </is>
      </c>
      <c r="K1438" s="7" t="inlineStr">
        <is>
          <t>Multifamily</t>
        </is>
      </c>
      <c r="L1438" s="7" t="inlineStr">
        <is>
          <t>Highline Capital</t>
        </is>
      </c>
      <c r="M1438" s="7" t="inlineStr">
        <is>
          <t>Pier Asset Mgmt</t>
        </is>
      </c>
    </row>
    <row r="1439">
      <c r="A1439" s="5" t="inlineStr">
        <is>
          <t>L101434</t>
        </is>
      </c>
      <c r="B1439" s="16" t="n">
        <v>263796.17</v>
      </c>
      <c r="C1439" s="16" t="n">
        <v>252196.05</v>
      </c>
      <c r="D1439" s="26" t="n">
        <v>7.026</v>
      </c>
      <c r="E1439" s="6" t="n">
        <v>645</v>
      </c>
      <c r="F1439" s="11" t="n">
        <v>62.7</v>
      </c>
      <c r="G1439" s="11" t="n">
        <v>28.2</v>
      </c>
      <c r="H1439" s="6" t="n">
        <v>47</v>
      </c>
      <c r="I1439" s="6" t="n">
        <v>313</v>
      </c>
      <c r="J1439" s="5" t="inlineStr">
        <is>
          <t>TX</t>
        </is>
      </c>
      <c r="K1439" s="5" t="inlineStr">
        <is>
          <t>SFR</t>
        </is>
      </c>
      <c r="L1439" s="5" t="inlineStr">
        <is>
          <t>Coastal Mortgage Co</t>
        </is>
      </c>
      <c r="M1439" s="5" t="inlineStr">
        <is>
          <t>Pier Asset Mgmt</t>
        </is>
      </c>
    </row>
    <row r="1440">
      <c r="A1440" s="7" t="inlineStr">
        <is>
          <t>L101435</t>
        </is>
      </c>
      <c r="B1440" s="8" t="n">
        <v>235812.65</v>
      </c>
      <c r="C1440" s="8" t="n">
        <v>223364.91</v>
      </c>
      <c r="D1440" s="27" t="n">
        <v>5.695</v>
      </c>
      <c r="E1440" s="10" t="n">
        <v>744</v>
      </c>
      <c r="F1440" s="12" t="n">
        <v>65.90000000000001</v>
      </c>
      <c r="G1440" s="12" t="n">
        <v>18.5</v>
      </c>
      <c r="H1440" s="10" t="n">
        <v>45</v>
      </c>
      <c r="I1440" s="10" t="n">
        <v>315</v>
      </c>
      <c r="J1440" s="7" t="inlineStr">
        <is>
          <t>AZ</t>
        </is>
      </c>
      <c r="K1440" s="7" t="inlineStr">
        <is>
          <t>SFR</t>
        </is>
      </c>
      <c r="L1440" s="7" t="inlineStr">
        <is>
          <t>Highline Capital</t>
        </is>
      </c>
      <c r="M1440" s="7" t="inlineStr">
        <is>
          <t>Pier Asset Mgmt</t>
        </is>
      </c>
    </row>
    <row r="1441">
      <c r="A1441" s="5" t="inlineStr">
        <is>
          <t>L101436</t>
        </is>
      </c>
      <c r="B1441" s="16" t="n">
        <v>208147.93</v>
      </c>
      <c r="C1441" s="16" t="n">
        <v>200185.92</v>
      </c>
      <c r="D1441" s="26" t="n">
        <v>5.596</v>
      </c>
      <c r="E1441" s="6" t="n">
        <v>679</v>
      </c>
      <c r="F1441" s="11" t="n">
        <v>66.90000000000001</v>
      </c>
      <c r="G1441" s="11" t="n">
        <v>44.6</v>
      </c>
      <c r="H1441" s="6" t="n">
        <v>33</v>
      </c>
      <c r="I1441" s="6" t="n">
        <v>327</v>
      </c>
      <c r="J1441" s="5" t="inlineStr">
        <is>
          <t>WA</t>
        </is>
      </c>
      <c r="K1441" s="5" t="inlineStr">
        <is>
          <t>2-4 Unit</t>
        </is>
      </c>
      <c r="L1441" s="5" t="inlineStr">
        <is>
          <t>Highline Capital</t>
        </is>
      </c>
      <c r="M1441" s="5" t="inlineStr">
        <is>
          <t>Pier Asset Mgmt</t>
        </is>
      </c>
    </row>
    <row r="1442">
      <c r="A1442" s="7" t="inlineStr">
        <is>
          <t>L101437</t>
        </is>
      </c>
      <c r="B1442" s="8" t="n">
        <v>86295.56</v>
      </c>
      <c r="C1442" s="8" t="n">
        <v>84695.34</v>
      </c>
      <c r="D1442" s="27" t="n">
        <v>6.046</v>
      </c>
      <c r="E1442" s="10" t="n">
        <v>721</v>
      </c>
      <c r="F1442" s="12" t="n">
        <v>73.09999999999999</v>
      </c>
      <c r="G1442" s="12" t="n">
        <v>36.9</v>
      </c>
      <c r="H1442" s="10" t="n">
        <v>18</v>
      </c>
      <c r="I1442" s="10" t="n">
        <v>342</v>
      </c>
      <c r="J1442" s="7" t="inlineStr">
        <is>
          <t>WA</t>
        </is>
      </c>
      <c r="K1442" s="7" t="inlineStr">
        <is>
          <t>SFR</t>
        </is>
      </c>
      <c r="L1442" s="7" t="inlineStr">
        <is>
          <t>Highline Capital</t>
        </is>
      </c>
      <c r="M1442" s="7" t="inlineStr">
        <is>
          <t>Summit Loan Servicing</t>
        </is>
      </c>
    </row>
    <row r="1443">
      <c r="A1443" s="5" t="inlineStr">
        <is>
          <t>L101438</t>
        </is>
      </c>
      <c r="B1443" s="16" t="n">
        <v>156911.76</v>
      </c>
      <c r="C1443" s="16" t="n">
        <v>143926.43</v>
      </c>
      <c r="D1443" s="26" t="n">
        <v>7.294</v>
      </c>
      <c r="E1443" s="6" t="n">
        <v>699</v>
      </c>
      <c r="F1443" s="11" t="n">
        <v>77.90000000000001</v>
      </c>
      <c r="G1443" s="11" t="n">
        <v>30</v>
      </c>
      <c r="H1443" s="6" t="n">
        <v>25</v>
      </c>
      <c r="I1443" s="6" t="n">
        <v>155</v>
      </c>
      <c r="J1443" s="5" t="inlineStr">
        <is>
          <t>GA</t>
        </is>
      </c>
      <c r="K1443" s="5" t="inlineStr">
        <is>
          <t>SFR</t>
        </is>
      </c>
      <c r="L1443" s="5" t="inlineStr">
        <is>
          <t>Apex Funding</t>
        </is>
      </c>
      <c r="M1443" s="5" t="inlineStr">
        <is>
          <t>Summit Loan Servicing</t>
        </is>
      </c>
    </row>
    <row r="1444">
      <c r="A1444" s="7" t="inlineStr">
        <is>
          <t>L101439</t>
        </is>
      </c>
      <c r="B1444" s="8" t="n">
        <v>359437.01</v>
      </c>
      <c r="C1444" s="8" t="n">
        <v>346772.59</v>
      </c>
      <c r="D1444" s="27" t="n">
        <v>6.593</v>
      </c>
      <c r="E1444" s="10" t="n">
        <v>820</v>
      </c>
      <c r="F1444" s="12" t="n">
        <v>79.8</v>
      </c>
      <c r="G1444" s="12" t="n">
        <v>45.4</v>
      </c>
      <c r="H1444" s="10" t="n">
        <v>36</v>
      </c>
      <c r="I1444" s="10" t="n">
        <v>324</v>
      </c>
      <c r="J1444" s="7" t="inlineStr">
        <is>
          <t>OH</t>
        </is>
      </c>
      <c r="K1444" s="7" t="inlineStr">
        <is>
          <t>SFR</t>
        </is>
      </c>
      <c r="L1444" s="7" t="inlineStr">
        <is>
          <t>Highline Capital</t>
        </is>
      </c>
      <c r="M1444" s="7" t="inlineStr">
        <is>
          <t>Northgate Servicing</t>
        </is>
      </c>
    </row>
    <row r="1445">
      <c r="A1445" s="5" t="inlineStr">
        <is>
          <t>L101440</t>
        </is>
      </c>
      <c r="B1445" s="16" t="n">
        <v>192409.44</v>
      </c>
      <c r="C1445" s="16" t="n">
        <v>192228.98</v>
      </c>
      <c r="D1445" s="26" t="n">
        <v>6.31</v>
      </c>
      <c r="E1445" s="6" t="n">
        <v>820</v>
      </c>
      <c r="F1445" s="11" t="n">
        <v>73.90000000000001</v>
      </c>
      <c r="G1445" s="11" t="n">
        <v>29.1</v>
      </c>
      <c r="H1445" s="6" t="n">
        <v>1</v>
      </c>
      <c r="I1445" s="6" t="n">
        <v>359</v>
      </c>
      <c r="J1445" s="5" t="inlineStr">
        <is>
          <t>OH</t>
        </is>
      </c>
      <c r="K1445" s="5" t="inlineStr">
        <is>
          <t>SFR</t>
        </is>
      </c>
      <c r="L1445" s="5" t="inlineStr">
        <is>
          <t>Coastal Mortgage Co</t>
        </is>
      </c>
      <c r="M1445" s="5" t="inlineStr">
        <is>
          <t>Northgate Servicing</t>
        </is>
      </c>
    </row>
    <row r="1446">
      <c r="A1446" s="7" t="inlineStr">
        <is>
          <t>L101441</t>
        </is>
      </c>
      <c r="B1446" s="8" t="n">
        <v>275462.58</v>
      </c>
      <c r="C1446" s="8" t="n">
        <v>259805.33</v>
      </c>
      <c r="D1446" s="27" t="n">
        <v>5.11</v>
      </c>
      <c r="E1446" s="10" t="n">
        <v>718</v>
      </c>
      <c r="F1446" s="12" t="n">
        <v>58</v>
      </c>
      <c r="G1446" s="12" t="n">
        <v>32.6</v>
      </c>
      <c r="H1446" s="10" t="n">
        <v>44</v>
      </c>
      <c r="I1446" s="10" t="n">
        <v>316</v>
      </c>
      <c r="J1446" s="7" t="inlineStr">
        <is>
          <t>WA</t>
        </is>
      </c>
      <c r="K1446" s="7" t="inlineStr">
        <is>
          <t>SFR</t>
        </is>
      </c>
      <c r="L1446" s="7" t="inlineStr">
        <is>
          <t>Apex Funding</t>
        </is>
      </c>
      <c r="M1446" s="7" t="inlineStr">
        <is>
          <t>Pier Asset Mgmt</t>
        </is>
      </c>
    </row>
    <row r="1447">
      <c r="A1447" s="5" t="inlineStr">
        <is>
          <t>L101442</t>
        </is>
      </c>
      <c r="B1447" s="16" t="n">
        <v>149232.4</v>
      </c>
      <c r="C1447" s="16" t="n">
        <v>124936.87</v>
      </c>
      <c r="D1447" s="26" t="n">
        <v>5.372</v>
      </c>
      <c r="E1447" s="6" t="n">
        <v>719</v>
      </c>
      <c r="F1447" s="11" t="n">
        <v>82.7</v>
      </c>
      <c r="G1447" s="11" t="n">
        <v>40.2</v>
      </c>
      <c r="H1447" s="6" t="n">
        <v>41</v>
      </c>
      <c r="I1447" s="6" t="n">
        <v>139</v>
      </c>
      <c r="J1447" s="5" t="inlineStr">
        <is>
          <t>NY</t>
        </is>
      </c>
      <c r="K1447" s="5" t="inlineStr">
        <is>
          <t>2-4 Unit</t>
        </is>
      </c>
      <c r="L1447" s="5" t="inlineStr">
        <is>
          <t>Highline Capital</t>
        </is>
      </c>
      <c r="M1447" s="5" t="inlineStr">
        <is>
          <t>Summit Loan Servicing</t>
        </is>
      </c>
    </row>
    <row r="1448">
      <c r="A1448" s="7" t="inlineStr">
        <is>
          <t>L101443</t>
        </is>
      </c>
      <c r="B1448" s="8" t="n">
        <v>401734.59</v>
      </c>
      <c r="C1448" s="8" t="n">
        <v>378306.66</v>
      </c>
      <c r="D1448" s="27" t="n">
        <v>5.249</v>
      </c>
      <c r="E1448" s="10" t="n">
        <v>694</v>
      </c>
      <c r="F1448" s="12" t="n">
        <v>73.40000000000001</v>
      </c>
      <c r="G1448" s="12" t="n">
        <v>27.1</v>
      </c>
      <c r="H1448" s="10" t="n">
        <v>46</v>
      </c>
      <c r="I1448" s="10" t="n">
        <v>314</v>
      </c>
      <c r="J1448" s="7" t="inlineStr">
        <is>
          <t>NC</t>
        </is>
      </c>
      <c r="K1448" s="7" t="inlineStr">
        <is>
          <t>SFR</t>
        </is>
      </c>
      <c r="L1448" s="7" t="inlineStr">
        <is>
          <t>Meridian Home Loans</t>
        </is>
      </c>
      <c r="M1448" s="7" t="inlineStr">
        <is>
          <t>Summit Loan Servicing</t>
        </is>
      </c>
    </row>
    <row r="1449">
      <c r="A1449" s="5" t="inlineStr">
        <is>
          <t>L101444</t>
        </is>
      </c>
      <c r="B1449" s="16" t="n">
        <v>230865.44</v>
      </c>
      <c r="C1449" s="16" t="n">
        <v>230010.99</v>
      </c>
      <c r="D1449" s="26" t="n">
        <v>7.576</v>
      </c>
      <c r="E1449" s="6" t="n">
        <v>776</v>
      </c>
      <c r="F1449" s="11" t="n">
        <v>87.90000000000001</v>
      </c>
      <c r="G1449" s="11" t="n">
        <v>35.1</v>
      </c>
      <c r="H1449" s="6" t="n">
        <v>5</v>
      </c>
      <c r="I1449" s="6" t="n">
        <v>355</v>
      </c>
      <c r="J1449" s="5" t="inlineStr">
        <is>
          <t>OH</t>
        </is>
      </c>
      <c r="K1449" s="5" t="inlineStr">
        <is>
          <t>Condo</t>
        </is>
      </c>
      <c r="L1449" s="5" t="inlineStr">
        <is>
          <t>Meridian Home Loans</t>
        </is>
      </c>
      <c r="M1449" s="5" t="inlineStr">
        <is>
          <t>Summit Loan Servicing</t>
        </is>
      </c>
    </row>
    <row r="1450">
      <c r="A1450" s="7" t="inlineStr">
        <is>
          <t>L101445</t>
        </is>
      </c>
      <c r="B1450" s="8" t="n">
        <v>268743.89</v>
      </c>
      <c r="C1450" s="8" t="n">
        <v>257197.68</v>
      </c>
      <c r="D1450" s="27" t="n">
        <v>6.878</v>
      </c>
      <c r="E1450" s="10" t="n">
        <v>697</v>
      </c>
      <c r="F1450" s="12" t="n">
        <v>65.5</v>
      </c>
      <c r="G1450" s="12" t="n">
        <v>44.7</v>
      </c>
      <c r="H1450" s="10" t="n">
        <v>45</v>
      </c>
      <c r="I1450" s="10" t="n">
        <v>315</v>
      </c>
      <c r="J1450" s="7" t="inlineStr">
        <is>
          <t>FL</t>
        </is>
      </c>
      <c r="K1450" s="7" t="inlineStr">
        <is>
          <t>Condo</t>
        </is>
      </c>
      <c r="L1450" s="7" t="inlineStr">
        <is>
          <t>Meridian Home Loans</t>
        </is>
      </c>
      <c r="M1450" s="7" t="inlineStr">
        <is>
          <t>Pier Asset Mgmt</t>
        </is>
      </c>
    </row>
    <row r="1451">
      <c r="A1451" s="5" t="inlineStr">
        <is>
          <t>L101446</t>
        </is>
      </c>
      <c r="B1451" s="16" t="n">
        <v>547995.8100000001</v>
      </c>
      <c r="C1451" s="16" t="n">
        <v>529842.9399999999</v>
      </c>
      <c r="D1451" s="26" t="n">
        <v>5.625</v>
      </c>
      <c r="E1451" s="6" t="n">
        <v>692</v>
      </c>
      <c r="F1451" s="11" t="n">
        <v>54.8</v>
      </c>
      <c r="G1451" s="11" t="n">
        <v>37.7</v>
      </c>
      <c r="H1451" s="6" t="n">
        <v>29</v>
      </c>
      <c r="I1451" s="6" t="n">
        <v>331</v>
      </c>
      <c r="J1451" s="5" t="inlineStr">
        <is>
          <t>FL</t>
        </is>
      </c>
      <c r="K1451" s="5" t="inlineStr">
        <is>
          <t>SFR</t>
        </is>
      </c>
      <c r="L1451" s="5" t="inlineStr">
        <is>
          <t>Apex Funding</t>
        </is>
      </c>
      <c r="M1451" s="5" t="inlineStr">
        <is>
          <t>Pier Asset Mgmt</t>
        </is>
      </c>
    </row>
    <row r="1452">
      <c r="A1452" s="7" t="inlineStr">
        <is>
          <t>L101447</t>
        </is>
      </c>
      <c r="B1452" s="8" t="n">
        <v>412814.67</v>
      </c>
      <c r="C1452" s="8" t="n">
        <v>400734.1</v>
      </c>
      <c r="D1452" s="27" t="n">
        <v>5.892</v>
      </c>
      <c r="E1452" s="10" t="n">
        <v>769</v>
      </c>
      <c r="F1452" s="12" t="n">
        <v>73.59999999999999</v>
      </c>
      <c r="G1452" s="12" t="n">
        <v>46</v>
      </c>
      <c r="H1452" s="10" t="n">
        <v>27</v>
      </c>
      <c r="I1452" s="10" t="n">
        <v>333</v>
      </c>
      <c r="J1452" s="7" t="inlineStr">
        <is>
          <t>NY</t>
        </is>
      </c>
      <c r="K1452" s="7" t="inlineStr">
        <is>
          <t>SFR</t>
        </is>
      </c>
      <c r="L1452" s="7" t="inlineStr">
        <is>
          <t>Coastal Mortgage Co</t>
        </is>
      </c>
      <c r="M1452" s="7" t="inlineStr">
        <is>
          <t>Pier Asset Mgmt</t>
        </is>
      </c>
    </row>
    <row r="1453">
      <c r="A1453" s="5" t="inlineStr">
        <is>
          <t>L101448</t>
        </is>
      </c>
      <c r="B1453" s="16" t="n">
        <v>218098.49</v>
      </c>
      <c r="C1453" s="16" t="n">
        <v>211016.96</v>
      </c>
      <c r="D1453" s="26" t="n">
        <v>5.657</v>
      </c>
      <c r="E1453" s="6" t="n">
        <v>685</v>
      </c>
      <c r="F1453" s="11" t="n">
        <v>89.59999999999999</v>
      </c>
      <c r="G1453" s="11" t="n">
        <v>45.1</v>
      </c>
      <c r="H1453" s="6" t="n">
        <v>9</v>
      </c>
      <c r="I1453" s="6" t="n">
        <v>171</v>
      </c>
      <c r="J1453" s="5" t="inlineStr">
        <is>
          <t>NY</t>
        </is>
      </c>
      <c r="K1453" s="5" t="inlineStr">
        <is>
          <t>SFR</t>
        </is>
      </c>
      <c r="L1453" s="5" t="inlineStr">
        <is>
          <t>Coastal Mortgage Co</t>
        </is>
      </c>
      <c r="M1453" s="5" t="inlineStr">
        <is>
          <t>Pier Asset Mgmt</t>
        </is>
      </c>
    </row>
    <row r="1454">
      <c r="A1454" s="7" t="inlineStr">
        <is>
          <t>L101449</t>
        </is>
      </c>
      <c r="B1454" s="8" t="n">
        <v>197278.74</v>
      </c>
      <c r="C1454" s="8" t="n">
        <v>179504.27</v>
      </c>
      <c r="D1454" s="27" t="n">
        <v>5.603</v>
      </c>
      <c r="E1454" s="10" t="n">
        <v>713</v>
      </c>
      <c r="F1454" s="12" t="n">
        <v>75.90000000000001</v>
      </c>
      <c r="G1454" s="12" t="n">
        <v>36.1</v>
      </c>
      <c r="H1454" s="10" t="n">
        <v>24</v>
      </c>
      <c r="I1454" s="10" t="n">
        <v>156</v>
      </c>
      <c r="J1454" s="7" t="inlineStr">
        <is>
          <t>AZ</t>
        </is>
      </c>
      <c r="K1454" s="7" t="inlineStr">
        <is>
          <t>2-4 Unit</t>
        </is>
      </c>
      <c r="L1454" s="7" t="inlineStr">
        <is>
          <t>Highline Capital</t>
        </is>
      </c>
      <c r="M1454" s="7" t="inlineStr">
        <is>
          <t>Pier Asset Mgmt</t>
        </is>
      </c>
    </row>
    <row r="1455">
      <c r="A1455" s="5" t="inlineStr">
        <is>
          <t>L101450</t>
        </is>
      </c>
      <c r="B1455" s="16" t="n">
        <v>216654.51</v>
      </c>
      <c r="C1455" s="16" t="n">
        <v>203528.53</v>
      </c>
      <c r="D1455" s="26" t="n">
        <v>6.814</v>
      </c>
      <c r="E1455" s="6" t="n">
        <v>628</v>
      </c>
      <c r="F1455" s="11" t="n">
        <v>71.59999999999999</v>
      </c>
      <c r="G1455" s="11" t="n">
        <v>17.3</v>
      </c>
      <c r="H1455" s="6" t="n">
        <v>18</v>
      </c>
      <c r="I1455" s="6" t="n">
        <v>162</v>
      </c>
      <c r="J1455" s="5" t="inlineStr">
        <is>
          <t>WA</t>
        </is>
      </c>
      <c r="K1455" s="5" t="inlineStr">
        <is>
          <t>SFR</t>
        </is>
      </c>
      <c r="L1455" s="5" t="inlineStr">
        <is>
          <t>Meridian Home Loans</t>
        </is>
      </c>
      <c r="M1455" s="5" t="inlineStr">
        <is>
          <t>Northgate Servicing</t>
        </is>
      </c>
    </row>
    <row r="1456">
      <c r="A1456" s="7" t="inlineStr">
        <is>
          <t>L101451</t>
        </is>
      </c>
      <c r="B1456" s="8" t="n">
        <v>290240.27</v>
      </c>
      <c r="C1456" s="8" t="n">
        <v>275340.24</v>
      </c>
      <c r="D1456" s="27" t="n">
        <v>6.141</v>
      </c>
      <c r="E1456" s="10" t="n">
        <v>754</v>
      </c>
      <c r="F1456" s="12" t="n">
        <v>63.6</v>
      </c>
      <c r="G1456" s="12" t="n">
        <v>27.2</v>
      </c>
      <c r="H1456" s="10" t="n">
        <v>47</v>
      </c>
      <c r="I1456" s="10" t="n">
        <v>313</v>
      </c>
      <c r="J1456" s="7" t="inlineStr">
        <is>
          <t>TX</t>
        </is>
      </c>
      <c r="K1456" s="7" t="inlineStr">
        <is>
          <t>SFR</t>
        </is>
      </c>
      <c r="L1456" s="7" t="inlineStr">
        <is>
          <t>Meridian Home Loans</t>
        </is>
      </c>
      <c r="M1456" s="7" t="inlineStr">
        <is>
          <t>Northgate Servicing</t>
        </is>
      </c>
    </row>
    <row r="1457">
      <c r="A1457" s="5" t="inlineStr">
        <is>
          <t>L101452</t>
        </is>
      </c>
      <c r="B1457" s="16" t="n">
        <v>234022.27</v>
      </c>
      <c r="C1457" s="16" t="n">
        <v>231518.9</v>
      </c>
      <c r="D1457" s="26" t="n">
        <v>8.273</v>
      </c>
      <c r="E1457" s="6" t="n">
        <v>820</v>
      </c>
      <c r="F1457" s="11" t="n">
        <v>95.09999999999999</v>
      </c>
      <c r="G1457" s="11" t="n">
        <v>42.1</v>
      </c>
      <c r="H1457" s="6" t="n">
        <v>16</v>
      </c>
      <c r="I1457" s="6" t="n">
        <v>344</v>
      </c>
      <c r="J1457" s="5" t="inlineStr">
        <is>
          <t>NY</t>
        </is>
      </c>
      <c r="K1457" s="5" t="inlineStr">
        <is>
          <t>Multifamily</t>
        </is>
      </c>
      <c r="L1457" s="5" t="inlineStr">
        <is>
          <t>Coastal Mortgage Co</t>
        </is>
      </c>
      <c r="M1457" s="5" t="inlineStr">
        <is>
          <t>Summit Loan Servicing</t>
        </is>
      </c>
    </row>
    <row r="1458">
      <c r="A1458" s="7" t="inlineStr">
        <is>
          <t>L101453</t>
        </is>
      </c>
      <c r="B1458" s="8" t="n">
        <v>211433.23</v>
      </c>
      <c r="C1458" s="8" t="n">
        <v>209660.92</v>
      </c>
      <c r="D1458" s="27" t="n">
        <v>7.525</v>
      </c>
      <c r="E1458" s="10" t="n">
        <v>755</v>
      </c>
      <c r="F1458" s="12" t="n">
        <v>61.6</v>
      </c>
      <c r="G1458" s="12" t="n">
        <v>23.6</v>
      </c>
      <c r="H1458" s="10" t="n">
        <v>11</v>
      </c>
      <c r="I1458" s="10" t="n">
        <v>349</v>
      </c>
      <c r="J1458" s="7" t="inlineStr">
        <is>
          <t>WA</t>
        </is>
      </c>
      <c r="K1458" s="7" t="inlineStr">
        <is>
          <t>SFR</t>
        </is>
      </c>
      <c r="L1458" s="7" t="inlineStr">
        <is>
          <t>Highline Capital</t>
        </is>
      </c>
      <c r="M1458" s="7" t="inlineStr">
        <is>
          <t>Northgate Servicing</t>
        </is>
      </c>
    </row>
    <row r="1459">
      <c r="A1459" s="5" t="inlineStr">
        <is>
          <t>L101454</t>
        </is>
      </c>
      <c r="B1459" s="16" t="n">
        <v>405758.5</v>
      </c>
      <c r="C1459" s="16" t="n">
        <v>342648.68</v>
      </c>
      <c r="D1459" s="26" t="n">
        <v>7.579</v>
      </c>
      <c r="E1459" s="6" t="n">
        <v>795</v>
      </c>
      <c r="F1459" s="11" t="n">
        <v>65.3</v>
      </c>
      <c r="G1459" s="11" t="n">
        <v>33.4</v>
      </c>
      <c r="H1459" s="6" t="n">
        <v>45</v>
      </c>
      <c r="I1459" s="6" t="n">
        <v>135</v>
      </c>
      <c r="J1459" s="5" t="inlineStr">
        <is>
          <t>GA</t>
        </is>
      </c>
      <c r="K1459" s="5" t="inlineStr">
        <is>
          <t>SFR</t>
        </is>
      </c>
      <c r="L1459" s="5" t="inlineStr">
        <is>
          <t>Apex Funding</t>
        </is>
      </c>
      <c r="M1459" s="5" t="inlineStr">
        <is>
          <t>Summit Loan Servicing</t>
        </is>
      </c>
    </row>
    <row r="1460">
      <c r="A1460" s="7" t="inlineStr">
        <is>
          <t>L101455</t>
        </is>
      </c>
      <c r="B1460" s="8" t="n">
        <v>233287.42</v>
      </c>
      <c r="C1460" s="8" t="n">
        <v>231527.07</v>
      </c>
      <c r="D1460" s="27" t="n">
        <v>7.004</v>
      </c>
      <c r="E1460" s="10" t="n">
        <v>668</v>
      </c>
      <c r="F1460" s="12" t="n">
        <v>80.8</v>
      </c>
      <c r="G1460" s="12" t="n">
        <v>38.7</v>
      </c>
      <c r="H1460" s="10" t="n">
        <v>9</v>
      </c>
      <c r="I1460" s="10" t="n">
        <v>351</v>
      </c>
      <c r="J1460" s="7" t="inlineStr">
        <is>
          <t>FL</t>
        </is>
      </c>
      <c r="K1460" s="7" t="inlineStr">
        <is>
          <t>Multifamily</t>
        </is>
      </c>
      <c r="L1460" s="7" t="inlineStr">
        <is>
          <t>Apex Funding</t>
        </is>
      </c>
      <c r="M1460" s="7" t="inlineStr">
        <is>
          <t>Pier Asset Mgmt</t>
        </is>
      </c>
    </row>
    <row r="1461">
      <c r="A1461" s="5" t="inlineStr">
        <is>
          <t>L101456</t>
        </is>
      </c>
      <c r="B1461" s="16" t="n">
        <v>542995.4300000001</v>
      </c>
      <c r="C1461" s="16" t="n">
        <v>517224.99</v>
      </c>
      <c r="D1461" s="26" t="n">
        <v>6.02</v>
      </c>
      <c r="E1461" s="6" t="n">
        <v>728</v>
      </c>
      <c r="F1461" s="11" t="n">
        <v>51.7</v>
      </c>
      <c r="G1461" s="11" t="n">
        <v>47.8</v>
      </c>
      <c r="H1461" s="6" t="n">
        <v>43</v>
      </c>
      <c r="I1461" s="6" t="n">
        <v>317</v>
      </c>
      <c r="J1461" s="5" t="inlineStr">
        <is>
          <t>NC</t>
        </is>
      </c>
      <c r="K1461" s="5" t="inlineStr">
        <is>
          <t>SFR</t>
        </is>
      </c>
      <c r="L1461" s="5" t="inlineStr">
        <is>
          <t>Apex Funding</t>
        </is>
      </c>
      <c r="M1461" s="5" t="inlineStr">
        <is>
          <t>Northgate Servicing</t>
        </is>
      </c>
    </row>
    <row r="1462">
      <c r="A1462" s="7" t="inlineStr">
        <is>
          <t>L101457</t>
        </is>
      </c>
      <c r="B1462" s="8" t="n">
        <v>250636.73</v>
      </c>
      <c r="C1462" s="8" t="n">
        <v>239713.13</v>
      </c>
      <c r="D1462" s="27" t="n">
        <v>6.938</v>
      </c>
      <c r="E1462" s="10" t="n">
        <v>663</v>
      </c>
      <c r="F1462" s="12" t="n">
        <v>89.3</v>
      </c>
      <c r="G1462" s="12" t="n">
        <v>31.4</v>
      </c>
      <c r="H1462" s="10" t="n">
        <v>46</v>
      </c>
      <c r="I1462" s="10" t="n">
        <v>314</v>
      </c>
      <c r="J1462" s="7" t="inlineStr">
        <is>
          <t>OH</t>
        </is>
      </c>
      <c r="K1462" s="7" t="inlineStr">
        <is>
          <t>SFR</t>
        </is>
      </c>
      <c r="L1462" s="7" t="inlineStr">
        <is>
          <t>Coastal Mortgage Co</t>
        </is>
      </c>
      <c r="M1462" s="7" t="inlineStr">
        <is>
          <t>Northgate Servicing</t>
        </is>
      </c>
    </row>
    <row r="1463">
      <c r="A1463" s="5" t="inlineStr">
        <is>
          <t>L101458</t>
        </is>
      </c>
      <c r="B1463" s="16" t="n">
        <v>453550.29</v>
      </c>
      <c r="C1463" s="16" t="n">
        <v>446646.47</v>
      </c>
      <c r="D1463" s="26" t="n">
        <v>6.086</v>
      </c>
      <c r="E1463" s="6" t="n">
        <v>702</v>
      </c>
      <c r="F1463" s="11" t="n">
        <v>81.5</v>
      </c>
      <c r="G1463" s="11" t="n">
        <v>30.9</v>
      </c>
      <c r="H1463" s="6" t="n">
        <v>15</v>
      </c>
      <c r="I1463" s="6" t="n">
        <v>345</v>
      </c>
      <c r="J1463" s="5" t="inlineStr">
        <is>
          <t>NY</t>
        </is>
      </c>
      <c r="K1463" s="5" t="inlineStr">
        <is>
          <t>SFR</t>
        </is>
      </c>
      <c r="L1463" s="5" t="inlineStr">
        <is>
          <t>Coastal Mortgage Co</t>
        </is>
      </c>
      <c r="M1463" s="5" t="inlineStr">
        <is>
          <t>Northgate Servicing</t>
        </is>
      </c>
    </row>
    <row r="1464">
      <c r="A1464" s="7" t="inlineStr">
        <is>
          <t>L101459</t>
        </is>
      </c>
      <c r="B1464" s="8" t="n">
        <v>275147.28</v>
      </c>
      <c r="C1464" s="8" t="n">
        <v>268185.2</v>
      </c>
      <c r="D1464" s="27" t="n">
        <v>7.867</v>
      </c>
      <c r="E1464" s="10" t="n">
        <v>757</v>
      </c>
      <c r="F1464" s="12" t="n">
        <v>84.8</v>
      </c>
      <c r="G1464" s="12" t="n">
        <v>35.6</v>
      </c>
      <c r="H1464" s="10" t="n">
        <v>33</v>
      </c>
      <c r="I1464" s="10" t="n">
        <v>327</v>
      </c>
      <c r="J1464" s="7" t="inlineStr">
        <is>
          <t>IL</t>
        </is>
      </c>
      <c r="K1464" s="7" t="inlineStr">
        <is>
          <t>Condo</t>
        </is>
      </c>
      <c r="L1464" s="7" t="inlineStr">
        <is>
          <t>Highline Capital</t>
        </is>
      </c>
      <c r="M1464" s="7" t="inlineStr">
        <is>
          <t>Pier Asset Mgmt</t>
        </is>
      </c>
    </row>
    <row r="1465">
      <c r="A1465" s="5" t="inlineStr">
        <is>
          <t>L101460</t>
        </is>
      </c>
      <c r="B1465" s="16" t="n">
        <v>340114.02</v>
      </c>
      <c r="C1465" s="16" t="n">
        <v>327777.42</v>
      </c>
      <c r="D1465" s="26" t="n">
        <v>6.764</v>
      </c>
      <c r="E1465" s="6" t="n">
        <v>721</v>
      </c>
      <c r="F1465" s="11" t="n">
        <v>80.7</v>
      </c>
      <c r="G1465" s="11" t="n">
        <v>38.8</v>
      </c>
      <c r="H1465" s="6" t="n">
        <v>38</v>
      </c>
      <c r="I1465" s="6" t="n">
        <v>322</v>
      </c>
      <c r="J1465" s="5" t="inlineStr">
        <is>
          <t>NC</t>
        </is>
      </c>
      <c r="K1465" s="5" t="inlineStr">
        <is>
          <t>2-4 Unit</t>
        </is>
      </c>
      <c r="L1465" s="5" t="inlineStr">
        <is>
          <t>Apex Funding</t>
        </is>
      </c>
      <c r="M1465" s="5" t="inlineStr">
        <is>
          <t>Pier Asset Mgmt</t>
        </is>
      </c>
    </row>
    <row r="1466">
      <c r="A1466" s="7" t="inlineStr">
        <is>
          <t>L101461</t>
        </is>
      </c>
      <c r="B1466" s="8" t="n">
        <v>188411.96</v>
      </c>
      <c r="C1466" s="8" t="n">
        <v>183787.47</v>
      </c>
      <c r="D1466" s="27" t="n">
        <v>6.636</v>
      </c>
      <c r="E1466" s="10" t="n">
        <v>637</v>
      </c>
      <c r="F1466" s="12" t="n">
        <v>72.09999999999999</v>
      </c>
      <c r="G1466" s="12" t="n">
        <v>34.8</v>
      </c>
      <c r="H1466" s="10" t="n">
        <v>26</v>
      </c>
      <c r="I1466" s="10" t="n">
        <v>334</v>
      </c>
      <c r="J1466" s="7" t="inlineStr">
        <is>
          <t>OH</t>
        </is>
      </c>
      <c r="K1466" s="7" t="inlineStr">
        <is>
          <t>Condo</t>
        </is>
      </c>
      <c r="L1466" s="7" t="inlineStr">
        <is>
          <t>Apex Funding</t>
        </is>
      </c>
      <c r="M1466" s="7" t="inlineStr">
        <is>
          <t>Northgate Servicing</t>
        </is>
      </c>
    </row>
    <row r="1467">
      <c r="A1467" s="5" t="inlineStr">
        <is>
          <t>L101462</t>
        </is>
      </c>
      <c r="B1467" s="16" t="n">
        <v>180085.01</v>
      </c>
      <c r="C1467" s="16" t="n">
        <v>174234.69</v>
      </c>
      <c r="D1467" s="26" t="n">
        <v>6.514</v>
      </c>
      <c r="E1467" s="6" t="n">
        <v>643</v>
      </c>
      <c r="F1467" s="11" t="n">
        <v>61.2</v>
      </c>
      <c r="G1467" s="11" t="n">
        <v>44.4</v>
      </c>
      <c r="H1467" s="6" t="n">
        <v>33</v>
      </c>
      <c r="I1467" s="6" t="n">
        <v>327</v>
      </c>
      <c r="J1467" s="5" t="inlineStr">
        <is>
          <t>GA</t>
        </is>
      </c>
      <c r="K1467" s="5" t="inlineStr">
        <is>
          <t>Multifamily</t>
        </is>
      </c>
      <c r="L1467" s="5" t="inlineStr">
        <is>
          <t>Meridian Home Loans</t>
        </is>
      </c>
      <c r="M1467" s="5" t="inlineStr">
        <is>
          <t>Pier Asset Mgmt</t>
        </is>
      </c>
    </row>
    <row r="1468">
      <c r="A1468" s="7" t="inlineStr">
        <is>
          <t>L101463</t>
        </is>
      </c>
      <c r="B1468" s="8" t="n">
        <v>285186.06</v>
      </c>
      <c r="C1468" s="8" t="n">
        <v>283810.15</v>
      </c>
      <c r="D1468" s="27" t="n">
        <v>7.966</v>
      </c>
      <c r="E1468" s="10" t="n">
        <v>639</v>
      </c>
      <c r="F1468" s="12" t="n">
        <v>72.3</v>
      </c>
      <c r="G1468" s="12" t="n">
        <v>29.6</v>
      </c>
      <c r="H1468" s="10" t="n">
        <v>7</v>
      </c>
      <c r="I1468" s="10" t="n">
        <v>353</v>
      </c>
      <c r="J1468" s="7" t="inlineStr">
        <is>
          <t>WA</t>
        </is>
      </c>
      <c r="K1468" s="7" t="inlineStr">
        <is>
          <t>SFR</t>
        </is>
      </c>
      <c r="L1468" s="7" t="inlineStr">
        <is>
          <t>Apex Funding</t>
        </is>
      </c>
      <c r="M1468" s="7" t="inlineStr">
        <is>
          <t>Pier Asset Mgmt</t>
        </is>
      </c>
    </row>
    <row r="1469">
      <c r="A1469" s="5" t="inlineStr">
        <is>
          <t>L101464</t>
        </is>
      </c>
      <c r="B1469" s="16" t="n">
        <v>343174.26</v>
      </c>
      <c r="C1469" s="16" t="n">
        <v>332540.3</v>
      </c>
      <c r="D1469" s="26" t="n">
        <v>5.11</v>
      </c>
      <c r="E1469" s="6" t="n">
        <v>742</v>
      </c>
      <c r="F1469" s="11" t="n">
        <v>62.3</v>
      </c>
      <c r="G1469" s="11" t="n">
        <v>37</v>
      </c>
      <c r="H1469" s="6" t="n">
        <v>25</v>
      </c>
      <c r="I1469" s="6" t="n">
        <v>335</v>
      </c>
      <c r="J1469" s="5" t="inlineStr">
        <is>
          <t>AZ</t>
        </is>
      </c>
      <c r="K1469" s="5" t="inlineStr">
        <is>
          <t>SFR</t>
        </is>
      </c>
      <c r="L1469" s="5" t="inlineStr">
        <is>
          <t>Coastal Mortgage Co</t>
        </is>
      </c>
      <c r="M1469" s="5" t="inlineStr">
        <is>
          <t>Pier Asset Mgmt</t>
        </is>
      </c>
    </row>
    <row r="1470">
      <c r="A1470" s="7" t="inlineStr">
        <is>
          <t>L101465</t>
        </is>
      </c>
      <c r="B1470" s="8" t="n">
        <v>246246.85</v>
      </c>
      <c r="C1470" s="8" t="n">
        <v>241814.63</v>
      </c>
      <c r="D1470" s="27" t="n">
        <v>8.054</v>
      </c>
      <c r="E1470" s="10" t="n">
        <v>820</v>
      </c>
      <c r="F1470" s="12" t="n">
        <v>79.8</v>
      </c>
      <c r="G1470" s="12" t="n">
        <v>39.6</v>
      </c>
      <c r="H1470" s="10" t="n">
        <v>25</v>
      </c>
      <c r="I1470" s="10" t="n">
        <v>335</v>
      </c>
      <c r="J1470" s="7" t="inlineStr">
        <is>
          <t>IL</t>
        </is>
      </c>
      <c r="K1470" s="7" t="inlineStr">
        <is>
          <t>SFR</t>
        </is>
      </c>
      <c r="L1470" s="7" t="inlineStr">
        <is>
          <t>Coastal Mortgage Co</t>
        </is>
      </c>
      <c r="M1470" s="7" t="inlineStr">
        <is>
          <t>Pier Asset Mgmt</t>
        </is>
      </c>
    </row>
    <row r="1471">
      <c r="A1471" s="5" t="inlineStr">
        <is>
          <t>L101466</t>
        </is>
      </c>
      <c r="B1471" s="16" t="n">
        <v>154780.36</v>
      </c>
      <c r="C1471" s="16" t="n">
        <v>150520.68</v>
      </c>
      <c r="D1471" s="26" t="n">
        <v>6.232</v>
      </c>
      <c r="E1471" s="6" t="n">
        <v>790</v>
      </c>
      <c r="F1471" s="11" t="n">
        <v>83.7</v>
      </c>
      <c r="G1471" s="11" t="n">
        <v>32.8</v>
      </c>
      <c r="H1471" s="6" t="n">
        <v>27</v>
      </c>
      <c r="I1471" s="6" t="n">
        <v>333</v>
      </c>
      <c r="J1471" s="5" t="inlineStr">
        <is>
          <t>IL</t>
        </is>
      </c>
      <c r="K1471" s="5" t="inlineStr">
        <is>
          <t>2-4 Unit</t>
        </is>
      </c>
      <c r="L1471" s="5" t="inlineStr">
        <is>
          <t>Apex Funding</t>
        </is>
      </c>
      <c r="M1471" s="5" t="inlineStr">
        <is>
          <t>Summit Loan Servicing</t>
        </is>
      </c>
    </row>
    <row r="1472">
      <c r="A1472" s="7" t="inlineStr">
        <is>
          <t>L101467</t>
        </is>
      </c>
      <c r="B1472" s="8" t="n">
        <v>150830.14</v>
      </c>
      <c r="C1472" s="8" t="n">
        <v>142078.01</v>
      </c>
      <c r="D1472" s="27" t="n">
        <v>5.134</v>
      </c>
      <c r="E1472" s="10" t="n">
        <v>611</v>
      </c>
      <c r="F1472" s="12" t="n">
        <v>91.7</v>
      </c>
      <c r="G1472" s="12" t="n">
        <v>42.7</v>
      </c>
      <c r="H1472" s="10" t="n">
        <v>45</v>
      </c>
      <c r="I1472" s="10" t="n">
        <v>315</v>
      </c>
      <c r="J1472" s="7" t="inlineStr">
        <is>
          <t>NC</t>
        </is>
      </c>
      <c r="K1472" s="7" t="inlineStr">
        <is>
          <t>Multifamily</t>
        </is>
      </c>
      <c r="L1472" s="7" t="inlineStr">
        <is>
          <t>Coastal Mortgage Co</t>
        </is>
      </c>
      <c r="M1472" s="7" t="inlineStr">
        <is>
          <t>Northgate Servicing</t>
        </is>
      </c>
    </row>
    <row r="1473">
      <c r="A1473" s="5" t="inlineStr">
        <is>
          <t>L101468</t>
        </is>
      </c>
      <c r="B1473" s="16" t="n">
        <v>147340.61</v>
      </c>
      <c r="C1473" s="16" t="n">
        <v>140730.34</v>
      </c>
      <c r="D1473" s="26" t="n">
        <v>5.723</v>
      </c>
      <c r="E1473" s="6" t="n">
        <v>793</v>
      </c>
      <c r="F1473" s="11" t="n">
        <v>78.5</v>
      </c>
      <c r="G1473" s="11" t="n">
        <v>37.2</v>
      </c>
      <c r="H1473" s="6" t="n">
        <v>39</v>
      </c>
      <c r="I1473" s="6" t="n">
        <v>321</v>
      </c>
      <c r="J1473" s="5" t="inlineStr">
        <is>
          <t>CA</t>
        </is>
      </c>
      <c r="K1473" s="5" t="inlineStr">
        <is>
          <t>SFR</t>
        </is>
      </c>
      <c r="L1473" s="5" t="inlineStr">
        <is>
          <t>Apex Funding</t>
        </is>
      </c>
      <c r="M1473" s="5" t="inlineStr">
        <is>
          <t>Summit Loan Servicing</t>
        </is>
      </c>
    </row>
    <row r="1474">
      <c r="A1474" s="7" t="inlineStr">
        <is>
          <t>L101469</t>
        </is>
      </c>
      <c r="B1474" s="8" t="n">
        <v>130787.91</v>
      </c>
      <c r="C1474" s="8" t="n">
        <v>125882.17</v>
      </c>
      <c r="D1474" s="27" t="n">
        <v>4.914</v>
      </c>
      <c r="E1474" s="10" t="n">
        <v>767</v>
      </c>
      <c r="F1474" s="12" t="n">
        <v>85.09999999999999</v>
      </c>
      <c r="G1474" s="12" t="n">
        <v>42.3</v>
      </c>
      <c r="H1474" s="10" t="n">
        <v>29</v>
      </c>
      <c r="I1474" s="10" t="n">
        <v>331</v>
      </c>
      <c r="J1474" s="7" t="inlineStr">
        <is>
          <t>FL</t>
        </is>
      </c>
      <c r="K1474" s="7" t="inlineStr">
        <is>
          <t>2-4 Unit</t>
        </is>
      </c>
      <c r="L1474" s="7" t="inlineStr">
        <is>
          <t>Meridian Home Loans</t>
        </is>
      </c>
      <c r="M1474" s="7" t="inlineStr">
        <is>
          <t>Summit Loan Servicing</t>
        </is>
      </c>
    </row>
    <row r="1475">
      <c r="A1475" s="5" t="inlineStr">
        <is>
          <t>L101470</t>
        </is>
      </c>
      <c r="B1475" s="16" t="n">
        <v>252286.31</v>
      </c>
      <c r="C1475" s="16" t="n">
        <v>248134.47</v>
      </c>
      <c r="D1475" s="26" t="n">
        <v>6.988</v>
      </c>
      <c r="E1475" s="6" t="n">
        <v>630</v>
      </c>
      <c r="F1475" s="11" t="n">
        <v>70.40000000000001</v>
      </c>
      <c r="G1475" s="11" t="n">
        <v>37.6</v>
      </c>
      <c r="H1475" s="6" t="n">
        <v>19</v>
      </c>
      <c r="I1475" s="6" t="n">
        <v>341</v>
      </c>
      <c r="J1475" s="5" t="inlineStr">
        <is>
          <t>FL</t>
        </is>
      </c>
      <c r="K1475" s="5" t="inlineStr">
        <is>
          <t>SFR</t>
        </is>
      </c>
      <c r="L1475" s="5" t="inlineStr">
        <is>
          <t>Meridian Home Loans</t>
        </is>
      </c>
      <c r="M1475" s="5" t="inlineStr">
        <is>
          <t>Northgate Servicing</t>
        </is>
      </c>
    </row>
    <row r="1476">
      <c r="A1476" s="7" t="inlineStr">
        <is>
          <t>L101471</t>
        </is>
      </c>
      <c r="B1476" s="8" t="n">
        <v>359966.18</v>
      </c>
      <c r="C1476" s="8" t="n">
        <v>351682.84</v>
      </c>
      <c r="D1476" s="27" t="n">
        <v>5.466</v>
      </c>
      <c r="E1476" s="10" t="n">
        <v>698</v>
      </c>
      <c r="F1476" s="12" t="n">
        <v>68.3</v>
      </c>
      <c r="G1476" s="12" t="n">
        <v>39</v>
      </c>
      <c r="H1476" s="10" t="n">
        <v>20</v>
      </c>
      <c r="I1476" s="10" t="n">
        <v>340</v>
      </c>
      <c r="J1476" s="7" t="inlineStr">
        <is>
          <t>OH</t>
        </is>
      </c>
      <c r="K1476" s="7" t="inlineStr">
        <is>
          <t>SFR</t>
        </is>
      </c>
      <c r="L1476" s="7" t="inlineStr">
        <is>
          <t>Apex Funding</t>
        </is>
      </c>
      <c r="M1476" s="7" t="inlineStr">
        <is>
          <t>Summit Loan Servicing</t>
        </is>
      </c>
    </row>
    <row r="1477">
      <c r="A1477" s="5" t="inlineStr">
        <is>
          <t>L101472</t>
        </is>
      </c>
      <c r="B1477" s="16" t="n">
        <v>241664.21</v>
      </c>
      <c r="C1477" s="16" t="n">
        <v>241447.94</v>
      </c>
      <c r="D1477" s="26" t="n">
        <v>6.552</v>
      </c>
      <c r="E1477" s="6" t="n">
        <v>775</v>
      </c>
      <c r="F1477" s="11" t="n">
        <v>79.7</v>
      </c>
      <c r="G1477" s="11" t="n">
        <v>30.9</v>
      </c>
      <c r="H1477" s="6" t="n">
        <v>1</v>
      </c>
      <c r="I1477" s="6" t="n">
        <v>359</v>
      </c>
      <c r="J1477" s="5" t="inlineStr">
        <is>
          <t>OH</t>
        </is>
      </c>
      <c r="K1477" s="5" t="inlineStr">
        <is>
          <t>SFR</t>
        </is>
      </c>
      <c r="L1477" s="5" t="inlineStr">
        <is>
          <t>Highline Capital</t>
        </is>
      </c>
      <c r="M1477" s="5" t="inlineStr">
        <is>
          <t>Summit Loan Servicing</t>
        </is>
      </c>
    </row>
    <row r="1478">
      <c r="A1478" s="7" t="inlineStr">
        <is>
          <t>L101473</t>
        </is>
      </c>
      <c r="B1478" s="8" t="n">
        <v>110068.13</v>
      </c>
      <c r="C1478" s="8" t="n">
        <v>107735.12</v>
      </c>
      <c r="D1478" s="27" t="n">
        <v>7.421</v>
      </c>
      <c r="E1478" s="10" t="n">
        <v>745</v>
      </c>
      <c r="F1478" s="12" t="n">
        <v>69.40000000000001</v>
      </c>
      <c r="G1478" s="12" t="n">
        <v>31</v>
      </c>
      <c r="H1478" s="10" t="n">
        <v>26</v>
      </c>
      <c r="I1478" s="10" t="n">
        <v>334</v>
      </c>
      <c r="J1478" s="7" t="inlineStr">
        <is>
          <t>OH</t>
        </is>
      </c>
      <c r="K1478" s="7" t="inlineStr">
        <is>
          <t>Multifamily</t>
        </is>
      </c>
      <c r="L1478" s="7" t="inlineStr">
        <is>
          <t>Highline Capital</t>
        </is>
      </c>
      <c r="M1478" s="7" t="inlineStr">
        <is>
          <t>Pier Asset Mgmt</t>
        </is>
      </c>
    </row>
    <row r="1479">
      <c r="A1479" s="5" t="inlineStr">
        <is>
          <t>L101474</t>
        </is>
      </c>
      <c r="B1479" s="16" t="n">
        <v>227120.01</v>
      </c>
      <c r="C1479" s="16" t="n">
        <v>224222.53</v>
      </c>
      <c r="D1479" s="26" t="n">
        <v>5.795</v>
      </c>
      <c r="E1479" s="6" t="n">
        <v>643</v>
      </c>
      <c r="F1479" s="11" t="n">
        <v>77.2</v>
      </c>
      <c r="G1479" s="11" t="n">
        <v>45.8</v>
      </c>
      <c r="H1479" s="6" t="n">
        <v>12</v>
      </c>
      <c r="I1479" s="6" t="n">
        <v>348</v>
      </c>
      <c r="J1479" s="5" t="inlineStr">
        <is>
          <t>TX</t>
        </is>
      </c>
      <c r="K1479" s="5" t="inlineStr">
        <is>
          <t>SFR</t>
        </is>
      </c>
      <c r="L1479" s="5" t="inlineStr">
        <is>
          <t>Coastal Mortgage Co</t>
        </is>
      </c>
      <c r="M1479" s="5" t="inlineStr">
        <is>
          <t>Summit Loan Servicing</t>
        </is>
      </c>
    </row>
    <row r="1480">
      <c r="A1480" s="7" t="inlineStr">
        <is>
          <t>L101475</t>
        </is>
      </c>
      <c r="B1480" s="8" t="n">
        <v>229353.64</v>
      </c>
      <c r="C1480" s="8" t="n">
        <v>219002.92</v>
      </c>
      <c r="D1480" s="27" t="n">
        <v>6.159</v>
      </c>
      <c r="E1480" s="10" t="n">
        <v>749</v>
      </c>
      <c r="F1480" s="12" t="n">
        <v>61.3</v>
      </c>
      <c r="G1480" s="12" t="n">
        <v>41.1</v>
      </c>
      <c r="H1480" s="10" t="n">
        <v>42</v>
      </c>
      <c r="I1480" s="10" t="n">
        <v>318</v>
      </c>
      <c r="J1480" s="7" t="inlineStr">
        <is>
          <t>FL</t>
        </is>
      </c>
      <c r="K1480" s="7" t="inlineStr">
        <is>
          <t>SFR</t>
        </is>
      </c>
      <c r="L1480" s="7" t="inlineStr">
        <is>
          <t>Highline Capital</t>
        </is>
      </c>
      <c r="M1480" s="7" t="inlineStr">
        <is>
          <t>Northgate Servicing</t>
        </is>
      </c>
    </row>
    <row r="1481">
      <c r="A1481" s="5" t="inlineStr">
        <is>
          <t>L101476</t>
        </is>
      </c>
      <c r="B1481" s="16" t="n">
        <v>505649.77</v>
      </c>
      <c r="C1481" s="16" t="n">
        <v>482318.64</v>
      </c>
      <c r="D1481" s="26" t="n">
        <v>5.227</v>
      </c>
      <c r="E1481" s="6" t="n">
        <v>597</v>
      </c>
      <c r="F1481" s="11" t="n">
        <v>63.4</v>
      </c>
      <c r="G1481" s="11" t="n">
        <v>27.8</v>
      </c>
      <c r="H1481" s="6" t="n">
        <v>37</v>
      </c>
      <c r="I1481" s="6" t="n">
        <v>323</v>
      </c>
      <c r="J1481" s="5" t="inlineStr">
        <is>
          <t>NY</t>
        </is>
      </c>
      <c r="K1481" s="5" t="inlineStr">
        <is>
          <t>Multifamily</t>
        </is>
      </c>
      <c r="L1481" s="5" t="inlineStr">
        <is>
          <t>Coastal Mortgage Co</t>
        </is>
      </c>
      <c r="M1481" s="5" t="inlineStr">
        <is>
          <t>Pier Asset Mgmt</t>
        </is>
      </c>
    </row>
    <row r="1482">
      <c r="A1482" s="7" t="inlineStr">
        <is>
          <t>L101477</t>
        </is>
      </c>
      <c r="B1482" s="8" t="n">
        <v>145801.55</v>
      </c>
      <c r="C1482" s="8" t="n">
        <v>138917.75</v>
      </c>
      <c r="D1482" s="27" t="n">
        <v>6.05</v>
      </c>
      <c r="E1482" s="10" t="n">
        <v>703</v>
      </c>
      <c r="F1482" s="12" t="n">
        <v>81.59999999999999</v>
      </c>
      <c r="G1482" s="12" t="n">
        <v>37.4</v>
      </c>
      <c r="H1482" s="10" t="n">
        <v>43</v>
      </c>
      <c r="I1482" s="10" t="n">
        <v>317</v>
      </c>
      <c r="J1482" s="7" t="inlineStr">
        <is>
          <t>CA</t>
        </is>
      </c>
      <c r="K1482" s="7" t="inlineStr">
        <is>
          <t>SFR</t>
        </is>
      </c>
      <c r="L1482" s="7" t="inlineStr">
        <is>
          <t>Highline Capital</t>
        </is>
      </c>
      <c r="M1482" s="7" t="inlineStr">
        <is>
          <t>Summit Loan Servicing</t>
        </is>
      </c>
    </row>
    <row r="1483">
      <c r="A1483" s="5" t="inlineStr">
        <is>
          <t>L101478</t>
        </is>
      </c>
      <c r="B1483" s="16" t="n">
        <v>211771.44</v>
      </c>
      <c r="C1483" s="16" t="n">
        <v>204928.49</v>
      </c>
      <c r="D1483" s="26" t="n">
        <v>8.717000000000001</v>
      </c>
      <c r="E1483" s="6" t="n">
        <v>778</v>
      </c>
      <c r="F1483" s="11" t="n">
        <v>84.59999999999999</v>
      </c>
      <c r="G1483" s="11" t="n">
        <v>17</v>
      </c>
      <c r="H1483" s="6" t="n">
        <v>47</v>
      </c>
      <c r="I1483" s="6" t="n">
        <v>313</v>
      </c>
      <c r="J1483" s="5" t="inlineStr">
        <is>
          <t>FL</t>
        </is>
      </c>
      <c r="K1483" s="5" t="inlineStr">
        <is>
          <t>SFR</t>
        </is>
      </c>
      <c r="L1483" s="5" t="inlineStr">
        <is>
          <t>Coastal Mortgage Co</t>
        </is>
      </c>
      <c r="M1483" s="5" t="inlineStr">
        <is>
          <t>Northgate Servicing</t>
        </is>
      </c>
    </row>
    <row r="1484">
      <c r="A1484" s="7" t="inlineStr">
        <is>
          <t>L101479</t>
        </is>
      </c>
      <c r="B1484" s="8" t="n">
        <v>441109.51</v>
      </c>
      <c r="C1484" s="8" t="n">
        <v>434003.05</v>
      </c>
      <c r="D1484" s="27" t="n">
        <v>7.1</v>
      </c>
      <c r="E1484" s="10" t="n">
        <v>716</v>
      </c>
      <c r="F1484" s="12" t="n">
        <v>62.2</v>
      </c>
      <c r="G1484" s="12" t="n">
        <v>31.4</v>
      </c>
      <c r="H1484" s="10" t="n">
        <v>19</v>
      </c>
      <c r="I1484" s="10" t="n">
        <v>341</v>
      </c>
      <c r="J1484" s="7" t="inlineStr">
        <is>
          <t>IL</t>
        </is>
      </c>
      <c r="K1484" s="7" t="inlineStr">
        <is>
          <t>Condo</t>
        </is>
      </c>
      <c r="L1484" s="7" t="inlineStr">
        <is>
          <t>Meridian Home Loans</t>
        </is>
      </c>
      <c r="M1484" s="7" t="inlineStr">
        <is>
          <t>Pier Asset Mgmt</t>
        </is>
      </c>
    </row>
    <row r="1485">
      <c r="A1485" s="5" t="inlineStr">
        <is>
          <t>L101480</t>
        </is>
      </c>
      <c r="B1485" s="16" t="n">
        <v>284216.75</v>
      </c>
      <c r="C1485" s="16" t="n">
        <v>278151.16</v>
      </c>
      <c r="D1485" s="26" t="n">
        <v>6.162</v>
      </c>
      <c r="E1485" s="6" t="n">
        <v>688</v>
      </c>
      <c r="F1485" s="11" t="n">
        <v>82</v>
      </c>
      <c r="G1485" s="11" t="n">
        <v>43.7</v>
      </c>
      <c r="H1485" s="6" t="n">
        <v>21</v>
      </c>
      <c r="I1485" s="6" t="n">
        <v>339</v>
      </c>
      <c r="J1485" s="5" t="inlineStr">
        <is>
          <t>OH</t>
        </is>
      </c>
      <c r="K1485" s="5" t="inlineStr">
        <is>
          <t>SFR</t>
        </is>
      </c>
      <c r="L1485" s="5" t="inlineStr">
        <is>
          <t>Meridian Home Loans</t>
        </is>
      </c>
      <c r="M1485" s="5" t="inlineStr">
        <is>
          <t>Pier Asset Mgmt</t>
        </is>
      </c>
    </row>
    <row r="1486">
      <c r="A1486" s="7" t="inlineStr">
        <is>
          <t>L101481</t>
        </is>
      </c>
      <c r="B1486" s="8" t="n">
        <v>295717.41</v>
      </c>
      <c r="C1486" s="8" t="n">
        <v>286303.85</v>
      </c>
      <c r="D1486" s="27" t="n">
        <v>5.849</v>
      </c>
      <c r="E1486" s="10" t="n">
        <v>764</v>
      </c>
      <c r="F1486" s="12" t="n">
        <v>67.59999999999999</v>
      </c>
      <c r="G1486" s="12" t="n">
        <v>35</v>
      </c>
      <c r="H1486" s="10" t="n">
        <v>29</v>
      </c>
      <c r="I1486" s="10" t="n">
        <v>331</v>
      </c>
      <c r="J1486" s="7" t="inlineStr">
        <is>
          <t>TX</t>
        </is>
      </c>
      <c r="K1486" s="7" t="inlineStr">
        <is>
          <t>SFR</t>
        </is>
      </c>
      <c r="L1486" s="7" t="inlineStr">
        <is>
          <t>Highline Capital</t>
        </is>
      </c>
      <c r="M1486" s="7" t="inlineStr">
        <is>
          <t>Pier Asset Mgmt</t>
        </is>
      </c>
    </row>
    <row r="1487">
      <c r="A1487" s="5" t="inlineStr">
        <is>
          <t>L101482</t>
        </is>
      </c>
      <c r="B1487" s="16" t="n">
        <v>252736.96</v>
      </c>
      <c r="C1487" s="16" t="n">
        <v>247538.54</v>
      </c>
      <c r="D1487" s="26" t="n">
        <v>6.362</v>
      </c>
      <c r="E1487" s="6" t="n">
        <v>769</v>
      </c>
      <c r="F1487" s="11" t="n">
        <v>74.2</v>
      </c>
      <c r="G1487" s="11" t="n">
        <v>36.9</v>
      </c>
      <c r="H1487" s="6" t="n">
        <v>21</v>
      </c>
      <c r="I1487" s="6" t="n">
        <v>339</v>
      </c>
      <c r="J1487" s="5" t="inlineStr">
        <is>
          <t>OH</t>
        </is>
      </c>
      <c r="K1487" s="5" t="inlineStr">
        <is>
          <t>SFR</t>
        </is>
      </c>
      <c r="L1487" s="5" t="inlineStr">
        <is>
          <t>Apex Funding</t>
        </is>
      </c>
      <c r="M1487" s="5" t="inlineStr">
        <is>
          <t>Northgate Servicing</t>
        </is>
      </c>
    </row>
    <row r="1488">
      <c r="A1488" s="7" t="inlineStr">
        <is>
          <t>L101483</t>
        </is>
      </c>
      <c r="B1488" s="8" t="n">
        <v>272523.53</v>
      </c>
      <c r="C1488" s="8" t="n">
        <v>268961.77</v>
      </c>
      <c r="D1488" s="27" t="n">
        <v>6.517</v>
      </c>
      <c r="E1488" s="10" t="n">
        <v>787</v>
      </c>
      <c r="F1488" s="12" t="n">
        <v>91</v>
      </c>
      <c r="G1488" s="12" t="n">
        <v>11.9</v>
      </c>
      <c r="H1488" s="10" t="n">
        <v>14</v>
      </c>
      <c r="I1488" s="10" t="n">
        <v>346</v>
      </c>
      <c r="J1488" s="7" t="inlineStr">
        <is>
          <t>OH</t>
        </is>
      </c>
      <c r="K1488" s="7" t="inlineStr">
        <is>
          <t>2-4 Unit</t>
        </is>
      </c>
      <c r="L1488" s="7" t="inlineStr">
        <is>
          <t>Meridian Home Loans</t>
        </is>
      </c>
      <c r="M1488" s="7" t="inlineStr">
        <is>
          <t>Pier Asset Mgmt</t>
        </is>
      </c>
    </row>
    <row r="1489">
      <c r="A1489" s="5" t="inlineStr">
        <is>
          <t>L101484</t>
        </is>
      </c>
      <c r="B1489" s="16" t="n">
        <v>318750.31</v>
      </c>
      <c r="C1489" s="16" t="n">
        <v>307069.78</v>
      </c>
      <c r="D1489" s="26" t="n">
        <v>6.023</v>
      </c>
      <c r="E1489" s="6" t="n">
        <v>763</v>
      </c>
      <c r="F1489" s="11" t="n">
        <v>83.7</v>
      </c>
      <c r="G1489" s="11" t="n">
        <v>32.9</v>
      </c>
      <c r="H1489" s="6" t="n">
        <v>34</v>
      </c>
      <c r="I1489" s="6" t="n">
        <v>326</v>
      </c>
      <c r="J1489" s="5" t="inlineStr">
        <is>
          <t>TX</t>
        </is>
      </c>
      <c r="K1489" s="5" t="inlineStr">
        <is>
          <t>SFR</t>
        </is>
      </c>
      <c r="L1489" s="5" t="inlineStr">
        <is>
          <t>Highline Capital</t>
        </is>
      </c>
      <c r="M1489" s="5" t="inlineStr">
        <is>
          <t>Northgate Servicing</t>
        </is>
      </c>
    </row>
    <row r="1490">
      <c r="A1490" s="7" t="inlineStr">
        <is>
          <t>L101485</t>
        </is>
      </c>
      <c r="B1490" s="8" t="n">
        <v>182897.25</v>
      </c>
      <c r="C1490" s="8" t="n">
        <v>179306.83</v>
      </c>
      <c r="D1490" s="27" t="n">
        <v>6.877</v>
      </c>
      <c r="E1490" s="10" t="n">
        <v>774</v>
      </c>
      <c r="F1490" s="12" t="n">
        <v>83.59999999999999</v>
      </c>
      <c r="G1490" s="12" t="n">
        <v>38.7</v>
      </c>
      <c r="H1490" s="10" t="n">
        <v>22</v>
      </c>
      <c r="I1490" s="10" t="n">
        <v>338</v>
      </c>
      <c r="J1490" s="7" t="inlineStr">
        <is>
          <t>FL</t>
        </is>
      </c>
      <c r="K1490" s="7" t="inlineStr">
        <is>
          <t>Condo</t>
        </is>
      </c>
      <c r="L1490" s="7" t="inlineStr">
        <is>
          <t>Meridian Home Loans</t>
        </is>
      </c>
      <c r="M1490" s="7" t="inlineStr">
        <is>
          <t>Northgate Servicing</t>
        </is>
      </c>
    </row>
    <row r="1491">
      <c r="A1491" s="5" t="inlineStr">
        <is>
          <t>L101486</t>
        </is>
      </c>
      <c r="B1491" s="16" t="n">
        <v>330155.98</v>
      </c>
      <c r="C1491" s="16" t="n">
        <v>312268.99</v>
      </c>
      <c r="D1491" s="26" t="n">
        <v>5.542</v>
      </c>
      <c r="E1491" s="6" t="n">
        <v>755</v>
      </c>
      <c r="F1491" s="11" t="n">
        <v>96.90000000000001</v>
      </c>
      <c r="G1491" s="11" t="n">
        <v>39.7</v>
      </c>
      <c r="H1491" s="6" t="n">
        <v>45</v>
      </c>
      <c r="I1491" s="6" t="n">
        <v>315</v>
      </c>
      <c r="J1491" s="5" t="inlineStr">
        <is>
          <t>IL</t>
        </is>
      </c>
      <c r="K1491" s="5" t="inlineStr">
        <is>
          <t>2-4 Unit</t>
        </is>
      </c>
      <c r="L1491" s="5" t="inlineStr">
        <is>
          <t>Coastal Mortgage Co</t>
        </is>
      </c>
      <c r="M1491" s="5" t="inlineStr">
        <is>
          <t>Pier Asset Mgmt</t>
        </is>
      </c>
    </row>
    <row r="1492">
      <c r="A1492" s="7" t="inlineStr">
        <is>
          <t>L101487</t>
        </is>
      </c>
      <c r="B1492" s="8" t="n">
        <v>150158.84</v>
      </c>
      <c r="C1492" s="8" t="n">
        <v>144113.48</v>
      </c>
      <c r="D1492" s="27" t="n">
        <v>5.537</v>
      </c>
      <c r="E1492" s="10" t="n">
        <v>730</v>
      </c>
      <c r="F1492" s="12" t="n">
        <v>65.59999999999999</v>
      </c>
      <c r="G1492" s="12" t="n">
        <v>43.7</v>
      </c>
      <c r="H1492" s="10" t="n">
        <v>11</v>
      </c>
      <c r="I1492" s="10" t="n">
        <v>169</v>
      </c>
      <c r="J1492" s="7" t="inlineStr">
        <is>
          <t>WA</t>
        </is>
      </c>
      <c r="K1492" s="7" t="inlineStr">
        <is>
          <t>SFR</t>
        </is>
      </c>
      <c r="L1492" s="7" t="inlineStr">
        <is>
          <t>Apex Funding</t>
        </is>
      </c>
      <c r="M1492" s="7" t="inlineStr">
        <is>
          <t>Pier Asset Mgmt</t>
        </is>
      </c>
    </row>
    <row r="1493">
      <c r="A1493" s="5" t="inlineStr">
        <is>
          <t>L101488</t>
        </is>
      </c>
      <c r="B1493" s="16" t="n">
        <v>272373.29</v>
      </c>
      <c r="C1493" s="16" t="n">
        <v>252830.85</v>
      </c>
      <c r="D1493" s="26" t="n">
        <v>6.733</v>
      </c>
      <c r="E1493" s="6" t="n">
        <v>720</v>
      </c>
      <c r="F1493" s="11" t="n">
        <v>62.2</v>
      </c>
      <c r="G1493" s="11" t="n">
        <v>34.3</v>
      </c>
      <c r="H1493" s="6" t="n">
        <v>21</v>
      </c>
      <c r="I1493" s="6" t="n">
        <v>159</v>
      </c>
      <c r="J1493" s="5" t="inlineStr">
        <is>
          <t>AZ</t>
        </is>
      </c>
      <c r="K1493" s="5" t="inlineStr">
        <is>
          <t>2-4 Unit</t>
        </is>
      </c>
      <c r="L1493" s="5" t="inlineStr">
        <is>
          <t>Meridian Home Loans</t>
        </is>
      </c>
      <c r="M1493" s="5" t="inlineStr">
        <is>
          <t>Northgate Servicing</t>
        </is>
      </c>
    </row>
    <row r="1494">
      <c r="A1494" s="7" t="inlineStr">
        <is>
          <t>L101489</t>
        </is>
      </c>
      <c r="B1494" s="8" t="n">
        <v>258476.31</v>
      </c>
      <c r="C1494" s="8" t="n">
        <v>250795.92</v>
      </c>
      <c r="D1494" s="27" t="n">
        <v>5.348</v>
      </c>
      <c r="E1494" s="10" t="n">
        <v>702</v>
      </c>
      <c r="F1494" s="12" t="n">
        <v>65.3</v>
      </c>
      <c r="G1494" s="12" t="n">
        <v>34.7</v>
      </c>
      <c r="H1494" s="10" t="n">
        <v>25</v>
      </c>
      <c r="I1494" s="10" t="n">
        <v>335</v>
      </c>
      <c r="J1494" s="7" t="inlineStr">
        <is>
          <t>WA</t>
        </is>
      </c>
      <c r="K1494" s="7" t="inlineStr">
        <is>
          <t>Condo</t>
        </is>
      </c>
      <c r="L1494" s="7" t="inlineStr">
        <is>
          <t>Highline Capital</t>
        </is>
      </c>
      <c r="M1494" s="7" t="inlineStr">
        <is>
          <t>Pier Asset Mgmt</t>
        </is>
      </c>
    </row>
    <row r="1495">
      <c r="A1495" s="5" t="inlineStr">
        <is>
          <t>L101490</t>
        </is>
      </c>
      <c r="B1495" s="16" t="n">
        <v>195692.03</v>
      </c>
      <c r="C1495" s="16" t="n">
        <v>165732.35</v>
      </c>
      <c r="D1495" s="26" t="n">
        <v>7.056</v>
      </c>
      <c r="E1495" s="6" t="n">
        <v>648</v>
      </c>
      <c r="F1495" s="11" t="n">
        <v>70.90000000000001</v>
      </c>
      <c r="G1495" s="11" t="n">
        <v>25.3</v>
      </c>
      <c r="H1495" s="6" t="n">
        <v>43</v>
      </c>
      <c r="I1495" s="6" t="n">
        <v>137</v>
      </c>
      <c r="J1495" s="5" t="inlineStr">
        <is>
          <t>NY</t>
        </is>
      </c>
      <c r="K1495" s="5" t="inlineStr">
        <is>
          <t>Multifamily</t>
        </is>
      </c>
      <c r="L1495" s="5" t="inlineStr">
        <is>
          <t>Apex Funding</t>
        </is>
      </c>
      <c r="M1495" s="5" t="inlineStr">
        <is>
          <t>Northgate Servicing</t>
        </is>
      </c>
    </row>
    <row r="1496">
      <c r="A1496" s="7" t="inlineStr">
        <is>
          <t>L101491</t>
        </is>
      </c>
      <c r="B1496" s="8" t="n">
        <v>240881.44</v>
      </c>
      <c r="C1496" s="8" t="n">
        <v>216755.7</v>
      </c>
      <c r="D1496" s="27" t="n">
        <v>6.387</v>
      </c>
      <c r="E1496" s="10" t="n">
        <v>662</v>
      </c>
      <c r="F1496" s="12" t="n">
        <v>45.7</v>
      </c>
      <c r="G1496" s="12" t="n">
        <v>34.4</v>
      </c>
      <c r="H1496" s="10" t="n">
        <v>28</v>
      </c>
      <c r="I1496" s="10" t="n">
        <v>152</v>
      </c>
      <c r="J1496" s="7" t="inlineStr">
        <is>
          <t>WA</t>
        </is>
      </c>
      <c r="K1496" s="7" t="inlineStr">
        <is>
          <t>SFR</t>
        </is>
      </c>
      <c r="L1496" s="7" t="inlineStr">
        <is>
          <t>Highline Capital</t>
        </is>
      </c>
      <c r="M1496" s="7" t="inlineStr">
        <is>
          <t>Summit Loan Servicing</t>
        </is>
      </c>
    </row>
    <row r="1497">
      <c r="A1497" s="5" t="inlineStr">
        <is>
          <t>L101492</t>
        </is>
      </c>
      <c r="B1497" s="16" t="n">
        <v>195264.62</v>
      </c>
      <c r="C1497" s="16" t="n">
        <v>194276.99</v>
      </c>
      <c r="D1497" s="26" t="n">
        <v>4.755</v>
      </c>
      <c r="E1497" s="6" t="n">
        <v>699</v>
      </c>
      <c r="F1497" s="11" t="n">
        <v>71.5</v>
      </c>
      <c r="G1497" s="11" t="n">
        <v>25.9</v>
      </c>
      <c r="H1497" s="6" t="n">
        <v>4</v>
      </c>
      <c r="I1497" s="6" t="n">
        <v>356</v>
      </c>
      <c r="J1497" s="5" t="inlineStr">
        <is>
          <t>WA</t>
        </is>
      </c>
      <c r="K1497" s="5" t="inlineStr">
        <is>
          <t>SFR</t>
        </is>
      </c>
      <c r="L1497" s="5" t="inlineStr">
        <is>
          <t>Highline Capital</t>
        </is>
      </c>
      <c r="M1497" s="5" t="inlineStr">
        <is>
          <t>Northgate Servicing</t>
        </is>
      </c>
    </row>
    <row r="1498">
      <c r="A1498" s="7" t="inlineStr">
        <is>
          <t>L101493</t>
        </is>
      </c>
      <c r="B1498" s="8" t="n">
        <v>166859.02</v>
      </c>
      <c r="C1498" s="8" t="n">
        <v>164344.49</v>
      </c>
      <c r="D1498" s="27" t="n">
        <v>6.499</v>
      </c>
      <c r="E1498" s="10" t="n">
        <v>728</v>
      </c>
      <c r="F1498" s="12" t="n">
        <v>67.5</v>
      </c>
      <c r="G1498" s="12" t="n">
        <v>21.2</v>
      </c>
      <c r="H1498" s="10" t="n">
        <v>16</v>
      </c>
      <c r="I1498" s="10" t="n">
        <v>344</v>
      </c>
      <c r="J1498" s="7" t="inlineStr">
        <is>
          <t>GA</t>
        </is>
      </c>
      <c r="K1498" s="7" t="inlineStr">
        <is>
          <t>Condo</t>
        </is>
      </c>
      <c r="L1498" s="7" t="inlineStr">
        <is>
          <t>Highline Capital</t>
        </is>
      </c>
      <c r="M1498" s="7" t="inlineStr">
        <is>
          <t>Pier Asset Mgmt</t>
        </is>
      </c>
    </row>
    <row r="1499">
      <c r="A1499" s="5" t="inlineStr">
        <is>
          <t>L101494</t>
        </is>
      </c>
      <c r="B1499" s="16" t="n">
        <v>214536.43</v>
      </c>
      <c r="C1499" s="16" t="n">
        <v>202498.59</v>
      </c>
      <c r="D1499" s="26" t="n">
        <v>4.883</v>
      </c>
      <c r="E1499" s="6" t="n">
        <v>794</v>
      </c>
      <c r="F1499" s="11" t="n">
        <v>83.40000000000001</v>
      </c>
      <c r="G1499" s="11" t="n">
        <v>27.3</v>
      </c>
      <c r="H1499" s="6" t="n">
        <v>42</v>
      </c>
      <c r="I1499" s="6" t="n">
        <v>318</v>
      </c>
      <c r="J1499" s="5" t="inlineStr">
        <is>
          <t>TX</t>
        </is>
      </c>
      <c r="K1499" s="5" t="inlineStr">
        <is>
          <t>Multifamily</t>
        </is>
      </c>
      <c r="L1499" s="5" t="inlineStr">
        <is>
          <t>Meridian Home Loans</t>
        </is>
      </c>
      <c r="M1499" s="5" t="inlineStr">
        <is>
          <t>Northgate Servicing</t>
        </is>
      </c>
    </row>
    <row r="1500">
      <c r="A1500" s="7" t="inlineStr">
        <is>
          <t>L101495</t>
        </is>
      </c>
      <c r="B1500" s="8" t="n">
        <v>164984.03</v>
      </c>
      <c r="C1500" s="8" t="n">
        <v>163171.48</v>
      </c>
      <c r="D1500" s="27" t="n">
        <v>7.024</v>
      </c>
      <c r="E1500" s="10" t="n">
        <v>713</v>
      </c>
      <c r="F1500" s="12" t="n">
        <v>78.2</v>
      </c>
      <c r="G1500" s="12" t="n">
        <v>48.1</v>
      </c>
      <c r="H1500" s="10" t="n">
        <v>13</v>
      </c>
      <c r="I1500" s="10" t="n">
        <v>347</v>
      </c>
      <c r="J1500" s="7" t="inlineStr">
        <is>
          <t>FL</t>
        </is>
      </c>
      <c r="K1500" s="7" t="inlineStr">
        <is>
          <t>Multifamily</t>
        </is>
      </c>
      <c r="L1500" s="7" t="inlineStr">
        <is>
          <t>Meridian Home Loans</t>
        </is>
      </c>
      <c r="M1500" s="7" t="inlineStr">
        <is>
          <t>Northgate Servicing</t>
        </is>
      </c>
    </row>
    <row r="1501">
      <c r="A1501" s="5" t="inlineStr">
        <is>
          <t>L101496</t>
        </is>
      </c>
      <c r="B1501" s="16" t="n">
        <v>271842.77</v>
      </c>
      <c r="C1501" s="16" t="n">
        <v>267207</v>
      </c>
      <c r="D1501" s="26" t="n">
        <v>6.176</v>
      </c>
      <c r="E1501" s="6" t="n">
        <v>770</v>
      </c>
      <c r="F1501" s="11" t="n">
        <v>66.8</v>
      </c>
      <c r="G1501" s="11" t="n">
        <v>33.8</v>
      </c>
      <c r="H1501" s="6" t="n">
        <v>17</v>
      </c>
      <c r="I1501" s="6" t="n">
        <v>343</v>
      </c>
      <c r="J1501" s="5" t="inlineStr">
        <is>
          <t>TX</t>
        </is>
      </c>
      <c r="K1501" s="5" t="inlineStr">
        <is>
          <t>SFR</t>
        </is>
      </c>
      <c r="L1501" s="5" t="inlineStr">
        <is>
          <t>Meridian Home Loans</t>
        </is>
      </c>
      <c r="M1501" s="5" t="inlineStr">
        <is>
          <t>Pier Asset Mgmt</t>
        </is>
      </c>
    </row>
    <row r="1502">
      <c r="A1502" s="7" t="inlineStr">
        <is>
          <t>L101497</t>
        </is>
      </c>
      <c r="B1502" s="8" t="n">
        <v>162343.55</v>
      </c>
      <c r="C1502" s="8" t="n">
        <v>158523.29</v>
      </c>
      <c r="D1502" s="27" t="n">
        <v>8.066000000000001</v>
      </c>
      <c r="E1502" s="10" t="n">
        <v>774</v>
      </c>
      <c r="F1502" s="12" t="n">
        <v>81.09999999999999</v>
      </c>
      <c r="G1502" s="12" t="n">
        <v>37.8</v>
      </c>
      <c r="H1502" s="10" t="n">
        <v>8</v>
      </c>
      <c r="I1502" s="10" t="n">
        <v>172</v>
      </c>
      <c r="J1502" s="7" t="inlineStr">
        <is>
          <t>OH</t>
        </is>
      </c>
      <c r="K1502" s="7" t="inlineStr">
        <is>
          <t>SFR</t>
        </is>
      </c>
      <c r="L1502" s="7" t="inlineStr">
        <is>
          <t>Meridian Home Loans</t>
        </is>
      </c>
      <c r="M1502" s="7" t="inlineStr">
        <is>
          <t>Pier Asset Mgmt</t>
        </is>
      </c>
    </row>
    <row r="1503">
      <c r="A1503" s="5" t="inlineStr">
        <is>
          <t>L101498</t>
        </is>
      </c>
      <c r="B1503" s="16" t="n">
        <v>311511.63</v>
      </c>
      <c r="C1503" s="16" t="n">
        <v>302560.74</v>
      </c>
      <c r="D1503" s="26" t="n">
        <v>7.364</v>
      </c>
      <c r="E1503" s="6" t="n">
        <v>702</v>
      </c>
      <c r="F1503" s="11" t="n">
        <v>82.7</v>
      </c>
      <c r="G1503" s="11" t="n">
        <v>31.9</v>
      </c>
      <c r="H1503" s="6" t="n">
        <v>34</v>
      </c>
      <c r="I1503" s="6" t="n">
        <v>326</v>
      </c>
      <c r="J1503" s="5" t="inlineStr">
        <is>
          <t>NY</t>
        </is>
      </c>
      <c r="K1503" s="5" t="inlineStr">
        <is>
          <t>SFR</t>
        </is>
      </c>
      <c r="L1503" s="5" t="inlineStr">
        <is>
          <t>Apex Funding</t>
        </is>
      </c>
      <c r="M1503" s="5" t="inlineStr">
        <is>
          <t>Northgate Servicing</t>
        </is>
      </c>
    </row>
    <row r="1504">
      <c r="A1504" s="7" t="inlineStr">
        <is>
          <t>L101499</t>
        </is>
      </c>
      <c r="B1504" s="8" t="n">
        <v>160569.53</v>
      </c>
      <c r="C1504" s="8" t="n">
        <v>159309.43</v>
      </c>
      <c r="D1504" s="27" t="n">
        <v>5.445</v>
      </c>
      <c r="E1504" s="10" t="n">
        <v>748</v>
      </c>
      <c r="F1504" s="12" t="n">
        <v>64.8</v>
      </c>
      <c r="G1504" s="12" t="n">
        <v>21.7</v>
      </c>
      <c r="H1504" s="10" t="n">
        <v>7</v>
      </c>
      <c r="I1504" s="10" t="n">
        <v>353</v>
      </c>
      <c r="J1504" s="7" t="inlineStr">
        <is>
          <t>AZ</t>
        </is>
      </c>
      <c r="K1504" s="7" t="inlineStr">
        <is>
          <t>Condo</t>
        </is>
      </c>
      <c r="L1504" s="7" t="inlineStr">
        <is>
          <t>Meridian Home Loans</t>
        </is>
      </c>
      <c r="M1504" s="7" t="inlineStr">
        <is>
          <t>Pier Asset Mgmt</t>
        </is>
      </c>
    </row>
    <row r="1505">
      <c r="A1505" s="5" t="inlineStr">
        <is>
          <t>L101500</t>
        </is>
      </c>
      <c r="B1505" s="16" t="n">
        <v>199146.65</v>
      </c>
      <c r="C1505" s="16" t="n">
        <v>194341.19</v>
      </c>
      <c r="D1505" s="26" t="n">
        <v>4.581</v>
      </c>
      <c r="E1505" s="6" t="n">
        <v>702</v>
      </c>
      <c r="F1505" s="11" t="n">
        <v>68.09999999999999</v>
      </c>
      <c r="G1505" s="11" t="n">
        <v>43.5</v>
      </c>
      <c r="H1505" s="6" t="n">
        <v>18</v>
      </c>
      <c r="I1505" s="6" t="n">
        <v>342</v>
      </c>
      <c r="J1505" s="5" t="inlineStr">
        <is>
          <t>FL</t>
        </is>
      </c>
      <c r="K1505" s="5" t="inlineStr">
        <is>
          <t>2-4 Unit</t>
        </is>
      </c>
      <c r="L1505" s="5" t="inlineStr">
        <is>
          <t>Coastal Mortgage Co</t>
        </is>
      </c>
      <c r="M1505" s="5" t="inlineStr">
        <is>
          <t>Northgate Servicing</t>
        </is>
      </c>
    </row>
    <row r="1506">
      <c r="A1506" s="7" t="inlineStr">
        <is>
          <t>L101501</t>
        </is>
      </c>
      <c r="B1506" s="8" t="n">
        <v>195123.66</v>
      </c>
      <c r="C1506" s="8" t="n">
        <v>187580.83</v>
      </c>
      <c r="D1506" s="27" t="n">
        <v>5.72</v>
      </c>
      <c r="E1506" s="10" t="n">
        <v>788</v>
      </c>
      <c r="F1506" s="12" t="n">
        <v>47.3</v>
      </c>
      <c r="G1506" s="12" t="n">
        <v>18.6</v>
      </c>
      <c r="H1506" s="10" t="n">
        <v>34</v>
      </c>
      <c r="I1506" s="10" t="n">
        <v>326</v>
      </c>
      <c r="J1506" s="7" t="inlineStr">
        <is>
          <t>WA</t>
        </is>
      </c>
      <c r="K1506" s="7" t="inlineStr">
        <is>
          <t>Condo</t>
        </is>
      </c>
      <c r="L1506" s="7" t="inlineStr">
        <is>
          <t>Apex Funding</t>
        </is>
      </c>
      <c r="M1506" s="7" t="inlineStr">
        <is>
          <t>Northgate Servicing</t>
        </is>
      </c>
    </row>
    <row r="1507">
      <c r="A1507" s="5" t="inlineStr">
        <is>
          <t>L101502</t>
        </is>
      </c>
      <c r="B1507" s="16" t="n">
        <v>386080.57</v>
      </c>
      <c r="C1507" s="16" t="n">
        <v>365358.27</v>
      </c>
      <c r="D1507" s="26" t="n">
        <v>5.301</v>
      </c>
      <c r="E1507" s="6" t="n">
        <v>750</v>
      </c>
      <c r="F1507" s="11" t="n">
        <v>60.9</v>
      </c>
      <c r="G1507" s="11" t="n">
        <v>31.6</v>
      </c>
      <c r="H1507" s="6" t="n">
        <v>43</v>
      </c>
      <c r="I1507" s="6" t="n">
        <v>317</v>
      </c>
      <c r="J1507" s="5" t="inlineStr">
        <is>
          <t>AZ</t>
        </is>
      </c>
      <c r="K1507" s="5" t="inlineStr">
        <is>
          <t>SFR</t>
        </is>
      </c>
      <c r="L1507" s="5" t="inlineStr">
        <is>
          <t>Apex Funding</t>
        </is>
      </c>
      <c r="M1507" s="5" t="inlineStr">
        <is>
          <t>Pier Asset Mgmt</t>
        </is>
      </c>
    </row>
    <row r="1508">
      <c r="A1508" s="7" t="inlineStr">
        <is>
          <t>L101503</t>
        </is>
      </c>
      <c r="B1508" s="8" t="n">
        <v>272556.57</v>
      </c>
      <c r="C1508" s="8" t="n">
        <v>270494.2</v>
      </c>
      <c r="D1508" s="27" t="n">
        <v>8.042999999999999</v>
      </c>
      <c r="E1508" s="10" t="n">
        <v>650</v>
      </c>
      <c r="F1508" s="12" t="n">
        <v>65.09999999999999</v>
      </c>
      <c r="G1508" s="12" t="n">
        <v>35.6</v>
      </c>
      <c r="H1508" s="10" t="n">
        <v>11</v>
      </c>
      <c r="I1508" s="10" t="n">
        <v>349</v>
      </c>
      <c r="J1508" s="7" t="inlineStr">
        <is>
          <t>NY</t>
        </is>
      </c>
      <c r="K1508" s="7" t="inlineStr">
        <is>
          <t>Multifamily</t>
        </is>
      </c>
      <c r="L1508" s="7" t="inlineStr">
        <is>
          <t>Coastal Mortgage Co</t>
        </is>
      </c>
      <c r="M1508" s="7" t="inlineStr">
        <is>
          <t>Summit Loan Servicing</t>
        </is>
      </c>
    </row>
    <row r="1509">
      <c r="A1509" s="5" t="inlineStr">
        <is>
          <t>L101504</t>
        </is>
      </c>
      <c r="B1509" s="16" t="n">
        <v>225458.9</v>
      </c>
      <c r="C1509" s="16" t="n">
        <v>221991.71</v>
      </c>
      <c r="D1509" s="26" t="n">
        <v>6.391</v>
      </c>
      <c r="E1509" s="6" t="n">
        <v>724</v>
      </c>
      <c r="F1509" s="11" t="n">
        <v>74.90000000000001</v>
      </c>
      <c r="G1509" s="11" t="n">
        <v>37.8</v>
      </c>
      <c r="H1509" s="6" t="n">
        <v>16</v>
      </c>
      <c r="I1509" s="6" t="n">
        <v>344</v>
      </c>
      <c r="J1509" s="5" t="inlineStr">
        <is>
          <t>IL</t>
        </is>
      </c>
      <c r="K1509" s="5" t="inlineStr">
        <is>
          <t>SFR</t>
        </is>
      </c>
      <c r="L1509" s="5" t="inlineStr">
        <is>
          <t>Meridian Home Loans</t>
        </is>
      </c>
      <c r="M1509" s="5" t="inlineStr">
        <is>
          <t>Summit Loan Servicing</t>
        </is>
      </c>
    </row>
    <row r="1510">
      <c r="A1510" s="7" t="inlineStr">
        <is>
          <t>L101505</t>
        </is>
      </c>
      <c r="B1510" s="8" t="n">
        <v>289106.9</v>
      </c>
      <c r="C1510" s="8" t="n">
        <v>287730.41</v>
      </c>
      <c r="D1510" s="27" t="n">
        <v>7.24</v>
      </c>
      <c r="E1510" s="10" t="n">
        <v>806</v>
      </c>
      <c r="F1510" s="12" t="n">
        <v>62.7</v>
      </c>
      <c r="G1510" s="12" t="n">
        <v>30.2</v>
      </c>
      <c r="H1510" s="10" t="n">
        <v>6</v>
      </c>
      <c r="I1510" s="10" t="n">
        <v>354</v>
      </c>
      <c r="J1510" s="7" t="inlineStr">
        <is>
          <t>CA</t>
        </is>
      </c>
      <c r="K1510" s="7" t="inlineStr">
        <is>
          <t>SFR</t>
        </is>
      </c>
      <c r="L1510" s="7" t="inlineStr">
        <is>
          <t>Meridian Home Loans</t>
        </is>
      </c>
      <c r="M1510" s="7" t="inlineStr">
        <is>
          <t>Summit Loan Servicing</t>
        </is>
      </c>
    </row>
    <row r="1511">
      <c r="A1511" s="5" t="inlineStr">
        <is>
          <t>L101506</t>
        </is>
      </c>
      <c r="B1511" s="16" t="n">
        <v>116131.99</v>
      </c>
      <c r="C1511" s="16" t="n">
        <v>113644.9</v>
      </c>
      <c r="D1511" s="26" t="n">
        <v>6.143</v>
      </c>
      <c r="E1511" s="6" t="n">
        <v>705</v>
      </c>
      <c r="F1511" s="11" t="n">
        <v>67.8</v>
      </c>
      <c r="G1511" s="11" t="n">
        <v>21.3</v>
      </c>
      <c r="H1511" s="6" t="n">
        <v>21</v>
      </c>
      <c r="I1511" s="6" t="n">
        <v>339</v>
      </c>
      <c r="J1511" s="5" t="inlineStr">
        <is>
          <t>TX</t>
        </is>
      </c>
      <c r="K1511" s="5" t="inlineStr">
        <is>
          <t>SFR</t>
        </is>
      </c>
      <c r="L1511" s="5" t="inlineStr">
        <is>
          <t>Highline Capital</t>
        </is>
      </c>
      <c r="M1511" s="5" t="inlineStr">
        <is>
          <t>Pier Asset Mgmt</t>
        </is>
      </c>
    </row>
    <row r="1512">
      <c r="A1512" s="7" t="inlineStr">
        <is>
          <t>L101507</t>
        </is>
      </c>
      <c r="B1512" s="8" t="n">
        <v>239163.63</v>
      </c>
      <c r="C1512" s="8" t="n">
        <v>227089.55</v>
      </c>
      <c r="D1512" s="27" t="n">
        <v>6.238</v>
      </c>
      <c r="E1512" s="10" t="n">
        <v>740</v>
      </c>
      <c r="F1512" s="12" t="n">
        <v>59.3</v>
      </c>
      <c r="G1512" s="12" t="n">
        <v>29.6</v>
      </c>
      <c r="H1512" s="10" t="n">
        <v>47</v>
      </c>
      <c r="I1512" s="10" t="n">
        <v>313</v>
      </c>
      <c r="J1512" s="7" t="inlineStr">
        <is>
          <t>WA</t>
        </is>
      </c>
      <c r="K1512" s="7" t="inlineStr">
        <is>
          <t>SFR</t>
        </is>
      </c>
      <c r="L1512" s="7" t="inlineStr">
        <is>
          <t>Coastal Mortgage Co</t>
        </is>
      </c>
      <c r="M1512" s="7" t="inlineStr">
        <is>
          <t>Summit Loan Servicing</t>
        </is>
      </c>
    </row>
    <row r="1513">
      <c r="A1513" s="5" t="inlineStr">
        <is>
          <t>L101508</t>
        </is>
      </c>
      <c r="B1513" s="16" t="n">
        <v>488517.2</v>
      </c>
      <c r="C1513" s="16" t="n">
        <v>481466.65</v>
      </c>
      <c r="D1513" s="26" t="n">
        <v>6.371</v>
      </c>
      <c r="E1513" s="6" t="n">
        <v>745</v>
      </c>
      <c r="F1513" s="11" t="n">
        <v>76.09999999999999</v>
      </c>
      <c r="G1513" s="11" t="n">
        <v>30</v>
      </c>
      <c r="H1513" s="6" t="n">
        <v>15</v>
      </c>
      <c r="I1513" s="6" t="n">
        <v>345</v>
      </c>
      <c r="J1513" s="5" t="inlineStr">
        <is>
          <t>OH</t>
        </is>
      </c>
      <c r="K1513" s="5" t="inlineStr">
        <is>
          <t>Condo</t>
        </is>
      </c>
      <c r="L1513" s="5" t="inlineStr">
        <is>
          <t>Apex Funding</t>
        </is>
      </c>
      <c r="M1513" s="5" t="inlineStr">
        <is>
          <t>Pier Asset Mgmt</t>
        </is>
      </c>
    </row>
    <row r="1514">
      <c r="A1514" s="7" t="inlineStr">
        <is>
          <t>L101509</t>
        </is>
      </c>
      <c r="B1514" s="8" t="n">
        <v>254313.05</v>
      </c>
      <c r="C1514" s="8" t="n">
        <v>251713.16</v>
      </c>
      <c r="D1514" s="27" t="n">
        <v>7.396</v>
      </c>
      <c r="E1514" s="10" t="n">
        <v>658</v>
      </c>
      <c r="F1514" s="12" t="n">
        <v>79.09999999999999</v>
      </c>
      <c r="G1514" s="12" t="n">
        <v>29.8</v>
      </c>
      <c r="H1514" s="10" t="n">
        <v>13</v>
      </c>
      <c r="I1514" s="10" t="n">
        <v>347</v>
      </c>
      <c r="J1514" s="7" t="inlineStr">
        <is>
          <t>OH</t>
        </is>
      </c>
      <c r="K1514" s="7" t="inlineStr">
        <is>
          <t>SFR</t>
        </is>
      </c>
      <c r="L1514" s="7" t="inlineStr">
        <is>
          <t>Apex Funding</t>
        </is>
      </c>
      <c r="M1514" s="7" t="inlineStr">
        <is>
          <t>Pier Asset Mgmt</t>
        </is>
      </c>
    </row>
    <row r="1515">
      <c r="A1515" s="5" t="inlineStr">
        <is>
          <t>L101510</t>
        </is>
      </c>
      <c r="B1515" s="16" t="n">
        <v>248642.05</v>
      </c>
      <c r="C1515" s="16" t="n">
        <v>244305.27</v>
      </c>
      <c r="D1515" s="26" t="n">
        <v>6.68</v>
      </c>
      <c r="E1515" s="6" t="n">
        <v>743</v>
      </c>
      <c r="F1515" s="11" t="n">
        <v>78.8</v>
      </c>
      <c r="G1515" s="11" t="n">
        <v>43.8</v>
      </c>
      <c r="H1515" s="6" t="n">
        <v>19</v>
      </c>
      <c r="I1515" s="6" t="n">
        <v>341</v>
      </c>
      <c r="J1515" s="5" t="inlineStr">
        <is>
          <t>NC</t>
        </is>
      </c>
      <c r="K1515" s="5" t="inlineStr">
        <is>
          <t>SFR</t>
        </is>
      </c>
      <c r="L1515" s="5" t="inlineStr">
        <is>
          <t>Coastal Mortgage Co</t>
        </is>
      </c>
      <c r="M1515" s="5" t="inlineStr">
        <is>
          <t>Pier Asset Mgmt</t>
        </is>
      </c>
    </row>
    <row r="1516">
      <c r="A1516" s="7" t="inlineStr">
        <is>
          <t>L101511</t>
        </is>
      </c>
      <c r="B1516" s="8" t="n">
        <v>294149.94</v>
      </c>
      <c r="C1516" s="8" t="n">
        <v>243946.73</v>
      </c>
      <c r="D1516" s="27" t="n">
        <v>5.448</v>
      </c>
      <c r="E1516" s="10" t="n">
        <v>638</v>
      </c>
      <c r="F1516" s="12" t="n">
        <v>74.09999999999999</v>
      </c>
      <c r="G1516" s="12" t="n">
        <v>26.3</v>
      </c>
      <c r="H1516" s="10" t="n">
        <v>43</v>
      </c>
      <c r="I1516" s="10" t="n">
        <v>137</v>
      </c>
      <c r="J1516" s="7" t="inlineStr">
        <is>
          <t>FL</t>
        </is>
      </c>
      <c r="K1516" s="7" t="inlineStr">
        <is>
          <t>SFR</t>
        </is>
      </c>
      <c r="L1516" s="7" t="inlineStr">
        <is>
          <t>Apex Funding</t>
        </is>
      </c>
      <c r="M1516" s="7" t="inlineStr">
        <is>
          <t>Pier Asset Mgmt</t>
        </is>
      </c>
    </row>
    <row r="1517">
      <c r="A1517" s="5" t="inlineStr">
        <is>
          <t>L101512</t>
        </is>
      </c>
      <c r="B1517" s="16" t="n">
        <v>332189.82</v>
      </c>
      <c r="C1517" s="16" t="n">
        <v>325713.17</v>
      </c>
      <c r="D1517" s="26" t="n">
        <v>7.86</v>
      </c>
      <c r="E1517" s="6" t="n">
        <v>681</v>
      </c>
      <c r="F1517" s="11" t="n">
        <v>55.5</v>
      </c>
      <c r="G1517" s="11" t="n">
        <v>38.4</v>
      </c>
      <c r="H1517" s="6" t="n">
        <v>26</v>
      </c>
      <c r="I1517" s="6" t="n">
        <v>334</v>
      </c>
      <c r="J1517" s="5" t="inlineStr">
        <is>
          <t>TX</t>
        </is>
      </c>
      <c r="K1517" s="5" t="inlineStr">
        <is>
          <t>SFR</t>
        </is>
      </c>
      <c r="L1517" s="5" t="inlineStr">
        <is>
          <t>Coastal Mortgage Co</t>
        </is>
      </c>
      <c r="M1517" s="5" t="inlineStr">
        <is>
          <t>Pier Asset Mgmt</t>
        </is>
      </c>
    </row>
    <row r="1518">
      <c r="A1518" s="7" t="inlineStr">
        <is>
          <t>L101513</t>
        </is>
      </c>
      <c r="B1518" s="8" t="n">
        <v>120678.67</v>
      </c>
      <c r="C1518" s="8" t="n">
        <v>117029.82</v>
      </c>
      <c r="D1518" s="27" t="n">
        <v>6.136</v>
      </c>
      <c r="E1518" s="10" t="n">
        <v>774</v>
      </c>
      <c r="F1518" s="12" t="n">
        <v>66.59999999999999</v>
      </c>
      <c r="G1518" s="12" t="n">
        <v>37.3</v>
      </c>
      <c r="H1518" s="10" t="n">
        <v>29</v>
      </c>
      <c r="I1518" s="10" t="n">
        <v>331</v>
      </c>
      <c r="J1518" s="7" t="inlineStr">
        <is>
          <t>AZ</t>
        </is>
      </c>
      <c r="K1518" s="7" t="inlineStr">
        <is>
          <t>Condo</t>
        </is>
      </c>
      <c r="L1518" s="7" t="inlineStr">
        <is>
          <t>Coastal Mortgage Co</t>
        </is>
      </c>
      <c r="M1518" s="7" t="inlineStr">
        <is>
          <t>Summit Loan Servicing</t>
        </is>
      </c>
    </row>
    <row r="1519">
      <c r="A1519" s="5" t="inlineStr">
        <is>
          <t>L101514</t>
        </is>
      </c>
      <c r="B1519" s="16" t="n">
        <v>134751.25</v>
      </c>
      <c r="C1519" s="16" t="n">
        <v>129304.38</v>
      </c>
      <c r="D1519" s="26" t="n">
        <v>5.99</v>
      </c>
      <c r="E1519" s="6" t="n">
        <v>735</v>
      </c>
      <c r="F1519" s="11" t="n">
        <v>69.09999999999999</v>
      </c>
      <c r="G1519" s="11" t="n">
        <v>43.7</v>
      </c>
      <c r="H1519" s="6" t="n">
        <v>37</v>
      </c>
      <c r="I1519" s="6" t="n">
        <v>323</v>
      </c>
      <c r="J1519" s="5" t="inlineStr">
        <is>
          <t>NY</t>
        </is>
      </c>
      <c r="K1519" s="5" t="inlineStr">
        <is>
          <t>SFR</t>
        </is>
      </c>
      <c r="L1519" s="5" t="inlineStr">
        <is>
          <t>Highline Capital</t>
        </is>
      </c>
      <c r="M1519" s="5" t="inlineStr">
        <is>
          <t>Pier Asset Mgmt</t>
        </is>
      </c>
    </row>
    <row r="1520">
      <c r="A1520" s="7" t="inlineStr">
        <is>
          <t>L101515</t>
        </is>
      </c>
      <c r="B1520" s="8" t="n">
        <v>261346.38</v>
      </c>
      <c r="C1520" s="8" t="n">
        <v>247483.97</v>
      </c>
      <c r="D1520" s="27" t="n">
        <v>3.853</v>
      </c>
      <c r="E1520" s="10" t="n">
        <v>698</v>
      </c>
      <c r="F1520" s="12" t="n">
        <v>69.2</v>
      </c>
      <c r="G1520" s="12" t="n">
        <v>34.9</v>
      </c>
      <c r="H1520" s="10" t="n">
        <v>34</v>
      </c>
      <c r="I1520" s="10" t="n">
        <v>326</v>
      </c>
      <c r="J1520" s="7" t="inlineStr">
        <is>
          <t>CA</t>
        </is>
      </c>
      <c r="K1520" s="7" t="inlineStr">
        <is>
          <t>SFR</t>
        </is>
      </c>
      <c r="L1520" s="7" t="inlineStr">
        <is>
          <t>Coastal Mortgage Co</t>
        </is>
      </c>
      <c r="M1520" s="7" t="inlineStr">
        <is>
          <t>Summit Loan Servicing</t>
        </is>
      </c>
    </row>
    <row r="1521">
      <c r="A1521" s="5" t="inlineStr">
        <is>
          <t>L101516</t>
        </is>
      </c>
      <c r="B1521" s="16" t="n">
        <v>189054.99</v>
      </c>
      <c r="C1521" s="16" t="n">
        <v>184147.62</v>
      </c>
      <c r="D1521" s="26" t="n">
        <v>6.971</v>
      </c>
      <c r="E1521" s="6" t="n">
        <v>740</v>
      </c>
      <c r="F1521" s="11" t="n">
        <v>74.90000000000001</v>
      </c>
      <c r="G1521" s="11" t="n">
        <v>42.3</v>
      </c>
      <c r="H1521" s="6" t="n">
        <v>29</v>
      </c>
      <c r="I1521" s="6" t="n">
        <v>331</v>
      </c>
      <c r="J1521" s="5" t="inlineStr">
        <is>
          <t>CA</t>
        </is>
      </c>
      <c r="K1521" s="5" t="inlineStr">
        <is>
          <t>SFR</t>
        </is>
      </c>
      <c r="L1521" s="5" t="inlineStr">
        <is>
          <t>Apex Funding</t>
        </is>
      </c>
      <c r="M1521" s="5" t="inlineStr">
        <is>
          <t>Northgate Servicing</t>
        </is>
      </c>
    </row>
    <row r="1522">
      <c r="A1522" s="7" t="inlineStr">
        <is>
          <t>L101517</t>
        </is>
      </c>
      <c r="B1522" s="8" t="n">
        <v>384311.55</v>
      </c>
      <c r="C1522" s="8" t="n">
        <v>347583.23</v>
      </c>
      <c r="D1522" s="27" t="n">
        <v>6.491</v>
      </c>
      <c r="E1522" s="10" t="n">
        <v>712</v>
      </c>
      <c r="F1522" s="12" t="n">
        <v>91.09999999999999</v>
      </c>
      <c r="G1522" s="12" t="n">
        <v>34.6</v>
      </c>
      <c r="H1522" s="10" t="n">
        <v>27</v>
      </c>
      <c r="I1522" s="10" t="n">
        <v>153</v>
      </c>
      <c r="J1522" s="7" t="inlineStr">
        <is>
          <t>GA</t>
        </is>
      </c>
      <c r="K1522" s="7" t="inlineStr">
        <is>
          <t>Condo</t>
        </is>
      </c>
      <c r="L1522" s="7" t="inlineStr">
        <is>
          <t>Apex Funding</t>
        </is>
      </c>
      <c r="M1522" s="7" t="inlineStr">
        <is>
          <t>Pier Asset Mgmt</t>
        </is>
      </c>
    </row>
    <row r="1523">
      <c r="A1523" s="5" t="inlineStr">
        <is>
          <t>L101518</t>
        </is>
      </c>
      <c r="B1523" s="16" t="n">
        <v>217442.33</v>
      </c>
      <c r="C1523" s="16" t="n">
        <v>211959.91</v>
      </c>
      <c r="D1523" s="26" t="n">
        <v>6.49</v>
      </c>
      <c r="E1523" s="6" t="n">
        <v>716</v>
      </c>
      <c r="F1523" s="11" t="n">
        <v>83.7</v>
      </c>
      <c r="G1523" s="11" t="n">
        <v>39.5</v>
      </c>
      <c r="H1523" s="6" t="n">
        <v>26</v>
      </c>
      <c r="I1523" s="6" t="n">
        <v>334</v>
      </c>
      <c r="J1523" s="5" t="inlineStr">
        <is>
          <t>OH</t>
        </is>
      </c>
      <c r="K1523" s="5" t="inlineStr">
        <is>
          <t>SFR</t>
        </is>
      </c>
      <c r="L1523" s="5" t="inlineStr">
        <is>
          <t>Meridian Home Loans</t>
        </is>
      </c>
      <c r="M1523" s="5" t="inlineStr">
        <is>
          <t>Summit Loan Servicing</t>
        </is>
      </c>
    </row>
    <row r="1524">
      <c r="A1524" s="7" t="inlineStr">
        <is>
          <t>L101519</t>
        </is>
      </c>
      <c r="B1524" s="8" t="n">
        <v>123366.42</v>
      </c>
      <c r="C1524" s="8" t="n">
        <v>119483.12</v>
      </c>
      <c r="D1524" s="27" t="n">
        <v>6.037</v>
      </c>
      <c r="E1524" s="10" t="n">
        <v>751</v>
      </c>
      <c r="F1524" s="12" t="n">
        <v>62.1</v>
      </c>
      <c r="G1524" s="12" t="n">
        <v>24</v>
      </c>
      <c r="H1524" s="10" t="n">
        <v>9</v>
      </c>
      <c r="I1524" s="10" t="n">
        <v>171</v>
      </c>
      <c r="J1524" s="7" t="inlineStr">
        <is>
          <t>NY</t>
        </is>
      </c>
      <c r="K1524" s="7" t="inlineStr">
        <is>
          <t>SFR</t>
        </is>
      </c>
      <c r="L1524" s="7" t="inlineStr">
        <is>
          <t>Apex Funding</t>
        </is>
      </c>
      <c r="M1524" s="7" t="inlineStr">
        <is>
          <t>Summit Loan Servicing</t>
        </is>
      </c>
    </row>
    <row r="1525">
      <c r="A1525" s="5" t="inlineStr">
        <is>
          <t>L101520</t>
        </is>
      </c>
      <c r="B1525" s="16" t="n">
        <v>155779.24</v>
      </c>
      <c r="C1525" s="16" t="n">
        <v>152454.84</v>
      </c>
      <c r="D1525" s="26" t="n">
        <v>5.882</v>
      </c>
      <c r="E1525" s="6" t="n">
        <v>675</v>
      </c>
      <c r="F1525" s="11" t="n">
        <v>82.09999999999999</v>
      </c>
      <c r="G1525" s="11" t="n">
        <v>14.9</v>
      </c>
      <c r="H1525" s="6" t="n">
        <v>20</v>
      </c>
      <c r="I1525" s="6" t="n">
        <v>340</v>
      </c>
      <c r="J1525" s="5" t="inlineStr">
        <is>
          <t>WA</t>
        </is>
      </c>
      <c r="K1525" s="5" t="inlineStr">
        <is>
          <t>SFR</t>
        </is>
      </c>
      <c r="L1525" s="5" t="inlineStr">
        <is>
          <t>Highline Capital</t>
        </is>
      </c>
      <c r="M1525" s="5" t="inlineStr">
        <is>
          <t>Pier Asset Mgmt</t>
        </is>
      </c>
    </row>
    <row r="1526">
      <c r="A1526" s="7" t="inlineStr">
        <is>
          <t>L101521</t>
        </is>
      </c>
      <c r="B1526" s="8" t="n">
        <v>92745.39999999999</v>
      </c>
      <c r="C1526" s="8" t="n">
        <v>88715.74000000001</v>
      </c>
      <c r="D1526" s="27" t="n">
        <v>6.067</v>
      </c>
      <c r="E1526" s="10" t="n">
        <v>717</v>
      </c>
      <c r="F1526" s="12" t="n">
        <v>81.7</v>
      </c>
      <c r="G1526" s="12" t="n">
        <v>39</v>
      </c>
      <c r="H1526" s="10" t="n">
        <v>40</v>
      </c>
      <c r="I1526" s="10" t="n">
        <v>320</v>
      </c>
      <c r="J1526" s="7" t="inlineStr">
        <is>
          <t>NY</t>
        </is>
      </c>
      <c r="K1526" s="7" t="inlineStr">
        <is>
          <t>SFR</t>
        </is>
      </c>
      <c r="L1526" s="7" t="inlineStr">
        <is>
          <t>Coastal Mortgage Co</t>
        </is>
      </c>
      <c r="M1526" s="7" t="inlineStr">
        <is>
          <t>Summit Loan Servicing</t>
        </is>
      </c>
    </row>
    <row r="1527">
      <c r="A1527" s="5" t="inlineStr">
        <is>
          <t>L101522</t>
        </is>
      </c>
      <c r="B1527" s="16" t="n">
        <v>223698.86</v>
      </c>
      <c r="C1527" s="16" t="n">
        <v>223317.61</v>
      </c>
      <c r="D1527" s="26" t="n">
        <v>6.817</v>
      </c>
      <c r="E1527" s="6" t="n">
        <v>698</v>
      </c>
      <c r="F1527" s="11" t="n">
        <v>64.3</v>
      </c>
      <c r="G1527" s="11" t="n">
        <v>39.4</v>
      </c>
      <c r="H1527" s="6" t="n">
        <v>2</v>
      </c>
      <c r="I1527" s="6" t="n">
        <v>358</v>
      </c>
      <c r="J1527" s="5" t="inlineStr">
        <is>
          <t>AZ</t>
        </is>
      </c>
      <c r="K1527" s="5" t="inlineStr">
        <is>
          <t>SFR</t>
        </is>
      </c>
      <c r="L1527" s="5" t="inlineStr">
        <is>
          <t>Highline Capital</t>
        </is>
      </c>
      <c r="M1527" s="5" t="inlineStr">
        <is>
          <t>Summit Loan Servicing</t>
        </is>
      </c>
    </row>
    <row r="1528">
      <c r="A1528" s="7" t="inlineStr">
        <is>
          <t>L101523</t>
        </is>
      </c>
      <c r="B1528" s="8" t="n">
        <v>227308.99</v>
      </c>
      <c r="C1528" s="8" t="n">
        <v>219139.02</v>
      </c>
      <c r="D1528" s="27" t="n">
        <v>6.975</v>
      </c>
      <c r="E1528" s="10" t="n">
        <v>628</v>
      </c>
      <c r="F1528" s="12" t="n">
        <v>84.2</v>
      </c>
      <c r="G1528" s="12" t="n">
        <v>39.8</v>
      </c>
      <c r="H1528" s="10" t="n">
        <v>39</v>
      </c>
      <c r="I1528" s="10" t="n">
        <v>321</v>
      </c>
      <c r="J1528" s="7" t="inlineStr">
        <is>
          <t>FL</t>
        </is>
      </c>
      <c r="K1528" s="7" t="inlineStr">
        <is>
          <t>SFR</t>
        </is>
      </c>
      <c r="L1528" s="7" t="inlineStr">
        <is>
          <t>Meridian Home Loans</t>
        </is>
      </c>
      <c r="M1528" s="7" t="inlineStr">
        <is>
          <t>Summit Loan Servicing</t>
        </is>
      </c>
    </row>
    <row r="1529">
      <c r="A1529" s="5" t="inlineStr">
        <is>
          <t>L101524</t>
        </is>
      </c>
      <c r="B1529" s="16" t="n">
        <v>209282.03</v>
      </c>
      <c r="C1529" s="16" t="n">
        <v>203480.44</v>
      </c>
      <c r="D1529" s="26" t="n">
        <v>6.192</v>
      </c>
      <c r="E1529" s="6" t="n">
        <v>664</v>
      </c>
      <c r="F1529" s="11" t="n">
        <v>72.09999999999999</v>
      </c>
      <c r="G1529" s="11" t="n">
        <v>31.8</v>
      </c>
      <c r="H1529" s="6" t="n">
        <v>27</v>
      </c>
      <c r="I1529" s="6" t="n">
        <v>333</v>
      </c>
      <c r="J1529" s="5" t="inlineStr">
        <is>
          <t>NC</t>
        </is>
      </c>
      <c r="K1529" s="5" t="inlineStr">
        <is>
          <t>Condo</t>
        </is>
      </c>
      <c r="L1529" s="5" t="inlineStr">
        <is>
          <t>Meridian Home Loans</t>
        </is>
      </c>
      <c r="M1529" s="5" t="inlineStr">
        <is>
          <t>Summit Loan Servicing</t>
        </is>
      </c>
    </row>
    <row r="1530">
      <c r="A1530" s="7" t="inlineStr">
        <is>
          <t>L101525</t>
        </is>
      </c>
      <c r="B1530" s="8" t="n">
        <v>354196.69</v>
      </c>
      <c r="C1530" s="8" t="n">
        <v>349269.21</v>
      </c>
      <c r="D1530" s="27" t="n">
        <v>7.254</v>
      </c>
      <c r="E1530" s="10" t="n">
        <v>801</v>
      </c>
      <c r="F1530" s="12" t="n">
        <v>57.1</v>
      </c>
      <c r="G1530" s="12" t="n">
        <v>47.9</v>
      </c>
      <c r="H1530" s="10" t="n">
        <v>17</v>
      </c>
      <c r="I1530" s="10" t="n">
        <v>343</v>
      </c>
      <c r="J1530" s="7" t="inlineStr">
        <is>
          <t>FL</t>
        </is>
      </c>
      <c r="K1530" s="7" t="inlineStr">
        <is>
          <t>SFR</t>
        </is>
      </c>
      <c r="L1530" s="7" t="inlineStr">
        <is>
          <t>Highline Capital</t>
        </is>
      </c>
      <c r="M1530" s="7" t="inlineStr">
        <is>
          <t>Northgate Servicing</t>
        </is>
      </c>
    </row>
    <row r="1531">
      <c r="A1531" s="5" t="inlineStr">
        <is>
          <t>L101526</t>
        </is>
      </c>
      <c r="B1531" s="16" t="n">
        <v>369343.34</v>
      </c>
      <c r="C1531" s="16" t="n">
        <v>367244.98</v>
      </c>
      <c r="D1531" s="26" t="n">
        <v>6.329</v>
      </c>
      <c r="E1531" s="6" t="n">
        <v>736</v>
      </c>
      <c r="F1531" s="11" t="n">
        <v>79.5</v>
      </c>
      <c r="G1531" s="11" t="n">
        <v>32.3</v>
      </c>
      <c r="H1531" s="6" t="n">
        <v>6</v>
      </c>
      <c r="I1531" s="6" t="n">
        <v>354</v>
      </c>
      <c r="J1531" s="5" t="inlineStr">
        <is>
          <t>AZ</t>
        </is>
      </c>
      <c r="K1531" s="5" t="inlineStr">
        <is>
          <t>SFR</t>
        </is>
      </c>
      <c r="L1531" s="5" t="inlineStr">
        <is>
          <t>Highline Capital</t>
        </is>
      </c>
      <c r="M1531" s="5" t="inlineStr">
        <is>
          <t>Pier Asset Mgmt</t>
        </is>
      </c>
    </row>
    <row r="1532">
      <c r="A1532" s="7" t="inlineStr">
        <is>
          <t>L101527</t>
        </is>
      </c>
      <c r="B1532" s="8" t="n">
        <v>228745.21</v>
      </c>
      <c r="C1532" s="8" t="n">
        <v>219702.1</v>
      </c>
      <c r="D1532" s="27" t="n">
        <v>5.946</v>
      </c>
      <c r="E1532" s="10" t="n">
        <v>642</v>
      </c>
      <c r="F1532" s="12" t="n">
        <v>76.59999999999999</v>
      </c>
      <c r="G1532" s="12" t="n">
        <v>39.4</v>
      </c>
      <c r="H1532" s="10" t="n">
        <v>36</v>
      </c>
      <c r="I1532" s="10" t="n">
        <v>324</v>
      </c>
      <c r="J1532" s="7" t="inlineStr">
        <is>
          <t>IL</t>
        </is>
      </c>
      <c r="K1532" s="7" t="inlineStr">
        <is>
          <t>Multifamily</t>
        </is>
      </c>
      <c r="L1532" s="7" t="inlineStr">
        <is>
          <t>Highline Capital</t>
        </is>
      </c>
      <c r="M1532" s="7" t="inlineStr">
        <is>
          <t>Northgate Servicing</t>
        </is>
      </c>
    </row>
    <row r="1533">
      <c r="A1533" s="5" t="inlineStr">
        <is>
          <t>L101528</t>
        </is>
      </c>
      <c r="B1533" s="16" t="n">
        <v>115019.53</v>
      </c>
      <c r="C1533" s="16" t="n">
        <v>114917.14</v>
      </c>
      <c r="D1533" s="26" t="n">
        <v>6.579</v>
      </c>
      <c r="E1533" s="6" t="n">
        <v>630</v>
      </c>
      <c r="F1533" s="11" t="n">
        <v>71.3</v>
      </c>
      <c r="G1533" s="11" t="n">
        <v>40.8</v>
      </c>
      <c r="H1533" s="6" t="n">
        <v>1</v>
      </c>
      <c r="I1533" s="6" t="n">
        <v>359</v>
      </c>
      <c r="J1533" s="5" t="inlineStr">
        <is>
          <t>CA</t>
        </is>
      </c>
      <c r="K1533" s="5" t="inlineStr">
        <is>
          <t>SFR</t>
        </is>
      </c>
      <c r="L1533" s="5" t="inlineStr">
        <is>
          <t>Apex Funding</t>
        </is>
      </c>
      <c r="M1533" s="5" t="inlineStr">
        <is>
          <t>Summit Loan Servicing</t>
        </is>
      </c>
    </row>
    <row r="1534">
      <c r="A1534" s="7" t="inlineStr">
        <is>
          <t>L101529</t>
        </is>
      </c>
      <c r="B1534" s="8" t="n">
        <v>301356.3</v>
      </c>
      <c r="C1534" s="8" t="n">
        <v>291737.22</v>
      </c>
      <c r="D1534" s="27" t="n">
        <v>5.177</v>
      </c>
      <c r="E1534" s="10" t="n">
        <v>709</v>
      </c>
      <c r="F1534" s="12" t="n">
        <v>73.59999999999999</v>
      </c>
      <c r="G1534" s="12" t="n">
        <v>49.7</v>
      </c>
      <c r="H1534" s="10" t="n">
        <v>26</v>
      </c>
      <c r="I1534" s="10" t="n">
        <v>334</v>
      </c>
      <c r="J1534" s="7" t="inlineStr">
        <is>
          <t>FL</t>
        </is>
      </c>
      <c r="K1534" s="7" t="inlineStr">
        <is>
          <t>SFR</t>
        </is>
      </c>
      <c r="L1534" s="7" t="inlineStr">
        <is>
          <t>Meridian Home Loans</t>
        </is>
      </c>
      <c r="M1534" s="7" t="inlineStr">
        <is>
          <t>Pier Asset Mgmt</t>
        </is>
      </c>
    </row>
    <row r="1535">
      <c r="A1535" s="5" t="inlineStr">
        <is>
          <t>L101530</t>
        </is>
      </c>
      <c r="B1535" s="16" t="n">
        <v>294895.42</v>
      </c>
      <c r="C1535" s="16" t="n">
        <v>292766.79</v>
      </c>
      <c r="D1535" s="26" t="n">
        <v>6.609</v>
      </c>
      <c r="E1535" s="6" t="n">
        <v>801</v>
      </c>
      <c r="F1535" s="11" t="n">
        <v>65.40000000000001</v>
      </c>
      <c r="G1535" s="11" t="n">
        <v>33.5</v>
      </c>
      <c r="H1535" s="6" t="n">
        <v>8</v>
      </c>
      <c r="I1535" s="6" t="n">
        <v>352</v>
      </c>
      <c r="J1535" s="5" t="inlineStr">
        <is>
          <t>NY</t>
        </is>
      </c>
      <c r="K1535" s="5" t="inlineStr">
        <is>
          <t>SFR</t>
        </is>
      </c>
      <c r="L1535" s="5" t="inlineStr">
        <is>
          <t>Coastal Mortgage Co</t>
        </is>
      </c>
      <c r="M1535" s="5" t="inlineStr">
        <is>
          <t>Northgate Servicing</t>
        </is>
      </c>
    </row>
    <row r="1536">
      <c r="A1536" s="7" t="inlineStr">
        <is>
          <t>L101531</t>
        </is>
      </c>
      <c r="B1536" s="8" t="n">
        <v>270570.25</v>
      </c>
      <c r="C1536" s="8" t="n">
        <v>223044.86</v>
      </c>
      <c r="D1536" s="27" t="n">
        <v>5.012</v>
      </c>
      <c r="E1536" s="10" t="n">
        <v>705</v>
      </c>
      <c r="F1536" s="12" t="n">
        <v>81.3</v>
      </c>
      <c r="G1536" s="12" t="n">
        <v>30.8</v>
      </c>
      <c r="H1536" s="10" t="n">
        <v>43</v>
      </c>
      <c r="I1536" s="10" t="n">
        <v>137</v>
      </c>
      <c r="J1536" s="7" t="inlineStr">
        <is>
          <t>IL</t>
        </is>
      </c>
      <c r="K1536" s="7" t="inlineStr">
        <is>
          <t>SFR</t>
        </is>
      </c>
      <c r="L1536" s="7" t="inlineStr">
        <is>
          <t>Apex Funding</t>
        </is>
      </c>
      <c r="M1536" s="7" t="inlineStr">
        <is>
          <t>Summit Loan Servicing</t>
        </is>
      </c>
    </row>
    <row r="1537">
      <c r="A1537" s="5" t="inlineStr">
        <is>
          <t>L101532</t>
        </is>
      </c>
      <c r="B1537" s="16" t="n">
        <v>342325.7</v>
      </c>
      <c r="C1537" s="16" t="n">
        <v>331045.22</v>
      </c>
      <c r="D1537" s="26" t="n">
        <v>5.475</v>
      </c>
      <c r="E1537" s="6" t="n">
        <v>787</v>
      </c>
      <c r="F1537" s="11" t="n">
        <v>73.5</v>
      </c>
      <c r="G1537" s="11" t="n">
        <v>24</v>
      </c>
      <c r="H1537" s="6" t="n">
        <v>9</v>
      </c>
      <c r="I1537" s="6" t="n">
        <v>171</v>
      </c>
      <c r="J1537" s="5" t="inlineStr">
        <is>
          <t>FL</t>
        </is>
      </c>
      <c r="K1537" s="5" t="inlineStr">
        <is>
          <t>SFR</t>
        </is>
      </c>
      <c r="L1537" s="5" t="inlineStr">
        <is>
          <t>Meridian Home Loans</t>
        </is>
      </c>
      <c r="M1537" s="5" t="inlineStr">
        <is>
          <t>Northgate Servicing</t>
        </is>
      </c>
    </row>
    <row r="1538">
      <c r="A1538" s="7" t="inlineStr">
        <is>
          <t>L101533</t>
        </is>
      </c>
      <c r="B1538" s="8" t="n">
        <v>161508.03</v>
      </c>
      <c r="C1538" s="8" t="n">
        <v>152958.07</v>
      </c>
      <c r="D1538" s="27" t="n">
        <v>4.583</v>
      </c>
      <c r="E1538" s="10" t="n">
        <v>734</v>
      </c>
      <c r="F1538" s="12" t="n">
        <v>76</v>
      </c>
      <c r="G1538" s="12" t="n">
        <v>48.4</v>
      </c>
      <c r="H1538" s="10" t="n">
        <v>38</v>
      </c>
      <c r="I1538" s="10" t="n">
        <v>322</v>
      </c>
      <c r="J1538" s="7" t="inlineStr">
        <is>
          <t>GA</t>
        </is>
      </c>
      <c r="K1538" s="7" t="inlineStr">
        <is>
          <t>2-4 Unit</t>
        </is>
      </c>
      <c r="L1538" s="7" t="inlineStr">
        <is>
          <t>Apex Funding</t>
        </is>
      </c>
      <c r="M1538" s="7" t="inlineStr">
        <is>
          <t>Summit Loan Servicing</t>
        </is>
      </c>
    </row>
    <row r="1539">
      <c r="A1539" s="5" t="inlineStr">
        <is>
          <t>L101534</t>
        </is>
      </c>
      <c r="B1539" s="16" t="n">
        <v>490443.02</v>
      </c>
      <c r="C1539" s="16" t="n">
        <v>476970.13</v>
      </c>
      <c r="D1539" s="26" t="n">
        <v>6.242</v>
      </c>
      <c r="E1539" s="6" t="n">
        <v>741</v>
      </c>
      <c r="F1539" s="11" t="n">
        <v>78.3</v>
      </c>
      <c r="G1539" s="11" t="n">
        <v>39.4</v>
      </c>
      <c r="H1539" s="6" t="n">
        <v>27</v>
      </c>
      <c r="I1539" s="6" t="n">
        <v>333</v>
      </c>
      <c r="J1539" s="5" t="inlineStr">
        <is>
          <t>WA</t>
        </is>
      </c>
      <c r="K1539" s="5" t="inlineStr">
        <is>
          <t>SFR</t>
        </is>
      </c>
      <c r="L1539" s="5" t="inlineStr">
        <is>
          <t>Meridian Home Loans</t>
        </is>
      </c>
      <c r="M1539" s="5" t="inlineStr">
        <is>
          <t>Northgate Servicing</t>
        </is>
      </c>
    </row>
    <row r="1540">
      <c r="A1540" s="7" t="inlineStr">
        <is>
          <t>L101535</t>
        </is>
      </c>
      <c r="B1540" s="8" t="n">
        <v>173546.4</v>
      </c>
      <c r="C1540" s="8" t="n">
        <v>172526.54</v>
      </c>
      <c r="D1540" s="27" t="n">
        <v>7.849</v>
      </c>
      <c r="E1540" s="10" t="n">
        <v>642</v>
      </c>
      <c r="F1540" s="12" t="n">
        <v>60.1</v>
      </c>
      <c r="G1540" s="12" t="n">
        <v>39.6</v>
      </c>
      <c r="H1540" s="10" t="n">
        <v>2</v>
      </c>
      <c r="I1540" s="10" t="n">
        <v>178</v>
      </c>
      <c r="J1540" s="7" t="inlineStr">
        <is>
          <t>AZ</t>
        </is>
      </c>
      <c r="K1540" s="7" t="inlineStr">
        <is>
          <t>Condo</t>
        </is>
      </c>
      <c r="L1540" s="7" t="inlineStr">
        <is>
          <t>Meridian Home Loans</t>
        </is>
      </c>
      <c r="M1540" s="7" t="inlineStr">
        <is>
          <t>Pier Asset Mgmt</t>
        </is>
      </c>
    </row>
    <row r="1541">
      <c r="A1541" s="5" t="inlineStr">
        <is>
          <t>L101536</t>
        </is>
      </c>
      <c r="B1541" s="16" t="n">
        <v>315599.1</v>
      </c>
      <c r="C1541" s="16" t="n">
        <v>304581.15</v>
      </c>
      <c r="D1541" s="26" t="n">
        <v>6.295</v>
      </c>
      <c r="E1541" s="6" t="n">
        <v>767</v>
      </c>
      <c r="F1541" s="11" t="n">
        <v>63.3</v>
      </c>
      <c r="G1541" s="11" t="n">
        <v>55</v>
      </c>
      <c r="H1541" s="6" t="n">
        <v>34</v>
      </c>
      <c r="I1541" s="6" t="n">
        <v>326</v>
      </c>
      <c r="J1541" s="5" t="inlineStr">
        <is>
          <t>NY</t>
        </is>
      </c>
      <c r="K1541" s="5" t="inlineStr">
        <is>
          <t>Multifamily</t>
        </is>
      </c>
      <c r="L1541" s="5" t="inlineStr">
        <is>
          <t>Meridian Home Loans</t>
        </is>
      </c>
      <c r="M1541" s="5" t="inlineStr">
        <is>
          <t>Northgate Servicing</t>
        </is>
      </c>
    </row>
    <row r="1542">
      <c r="A1542" s="7" t="inlineStr">
        <is>
          <t>L101537</t>
        </is>
      </c>
      <c r="B1542" s="8" t="n">
        <v>134514.64</v>
      </c>
      <c r="C1542" s="8" t="n">
        <v>129264.52</v>
      </c>
      <c r="D1542" s="27" t="n">
        <v>6.979</v>
      </c>
      <c r="E1542" s="10" t="n">
        <v>697</v>
      </c>
      <c r="F1542" s="12" t="n">
        <v>47.5</v>
      </c>
      <c r="G1542" s="12" t="n">
        <v>38.6</v>
      </c>
      <c r="H1542" s="10" t="n">
        <v>42</v>
      </c>
      <c r="I1542" s="10" t="n">
        <v>318</v>
      </c>
      <c r="J1542" s="7" t="inlineStr">
        <is>
          <t>NC</t>
        </is>
      </c>
      <c r="K1542" s="7" t="inlineStr">
        <is>
          <t>SFR</t>
        </is>
      </c>
      <c r="L1542" s="7" t="inlineStr">
        <is>
          <t>Meridian Home Loans</t>
        </is>
      </c>
      <c r="M1542" s="7" t="inlineStr">
        <is>
          <t>Pier Asset Mgmt</t>
        </is>
      </c>
    </row>
    <row r="1543">
      <c r="A1543" s="5" t="inlineStr">
        <is>
          <t>L101538</t>
        </is>
      </c>
      <c r="B1543" s="16" t="n">
        <v>175326.87</v>
      </c>
      <c r="C1543" s="16" t="n">
        <v>174120.4</v>
      </c>
      <c r="D1543" s="26" t="n">
        <v>8.516999999999999</v>
      </c>
      <c r="E1543" s="6" t="n">
        <v>762</v>
      </c>
      <c r="F1543" s="11" t="n">
        <v>80.8</v>
      </c>
      <c r="G1543" s="11" t="n">
        <v>25.6</v>
      </c>
      <c r="H1543" s="6" t="n">
        <v>11</v>
      </c>
      <c r="I1543" s="6" t="n">
        <v>349</v>
      </c>
      <c r="J1543" s="5" t="inlineStr">
        <is>
          <t>WA</t>
        </is>
      </c>
      <c r="K1543" s="5" t="inlineStr">
        <is>
          <t>Condo</t>
        </is>
      </c>
      <c r="L1543" s="5" t="inlineStr">
        <is>
          <t>Meridian Home Loans</t>
        </is>
      </c>
      <c r="M1543" s="5" t="inlineStr">
        <is>
          <t>Pier Asset Mgmt</t>
        </is>
      </c>
    </row>
    <row r="1544">
      <c r="A1544" s="7" t="inlineStr">
        <is>
          <t>L101539</t>
        </is>
      </c>
      <c r="B1544" s="8" t="n">
        <v>412804.35</v>
      </c>
      <c r="C1544" s="8" t="n">
        <v>343219.12</v>
      </c>
      <c r="D1544" s="27" t="n">
        <v>6.764</v>
      </c>
      <c r="E1544" s="10" t="n">
        <v>670</v>
      </c>
      <c r="F1544" s="12" t="n">
        <v>59.5</v>
      </c>
      <c r="G1544" s="12" t="n">
        <v>34.4</v>
      </c>
      <c r="H1544" s="10" t="n">
        <v>46</v>
      </c>
      <c r="I1544" s="10" t="n">
        <v>134</v>
      </c>
      <c r="J1544" s="7" t="inlineStr">
        <is>
          <t>FL</t>
        </is>
      </c>
      <c r="K1544" s="7" t="inlineStr">
        <is>
          <t>SFR</t>
        </is>
      </c>
      <c r="L1544" s="7" t="inlineStr">
        <is>
          <t>Highline Capital</t>
        </is>
      </c>
      <c r="M1544" s="7" t="inlineStr">
        <is>
          <t>Northgate Servicing</t>
        </is>
      </c>
    </row>
    <row r="1545">
      <c r="A1545" s="5" t="inlineStr">
        <is>
          <t>L101540</t>
        </is>
      </c>
      <c r="B1545" s="16" t="n">
        <v>221612.37</v>
      </c>
      <c r="C1545" s="16" t="n">
        <v>211928.48</v>
      </c>
      <c r="D1545" s="26" t="n">
        <v>5.711</v>
      </c>
      <c r="E1545" s="6" t="n">
        <v>725</v>
      </c>
      <c r="F1545" s="11" t="n">
        <v>75.59999999999999</v>
      </c>
      <c r="G1545" s="11" t="n">
        <v>28.2</v>
      </c>
      <c r="H1545" s="6" t="n">
        <v>38</v>
      </c>
      <c r="I1545" s="6" t="n">
        <v>322</v>
      </c>
      <c r="J1545" s="5" t="inlineStr">
        <is>
          <t>FL</t>
        </is>
      </c>
      <c r="K1545" s="5" t="inlineStr">
        <is>
          <t>SFR</t>
        </is>
      </c>
      <c r="L1545" s="5" t="inlineStr">
        <is>
          <t>Highline Capital</t>
        </is>
      </c>
      <c r="M1545" s="5" t="inlineStr">
        <is>
          <t>Pier Asset Mgmt</t>
        </is>
      </c>
    </row>
    <row r="1546">
      <c r="A1546" s="7" t="inlineStr">
        <is>
          <t>L101541</t>
        </is>
      </c>
      <c r="B1546" s="8" t="n">
        <v>325778.48</v>
      </c>
      <c r="C1546" s="8" t="n">
        <v>282547.07</v>
      </c>
      <c r="D1546" s="27" t="n">
        <v>5.835</v>
      </c>
      <c r="E1546" s="10" t="n">
        <v>734</v>
      </c>
      <c r="F1546" s="12" t="n">
        <v>78.5</v>
      </c>
      <c r="G1546" s="12" t="n">
        <v>32.8</v>
      </c>
      <c r="H1546" s="10" t="n">
        <v>35</v>
      </c>
      <c r="I1546" s="10" t="n">
        <v>145</v>
      </c>
      <c r="J1546" s="7" t="inlineStr">
        <is>
          <t>CA</t>
        </is>
      </c>
      <c r="K1546" s="7" t="inlineStr">
        <is>
          <t>2-4 Unit</t>
        </is>
      </c>
      <c r="L1546" s="7" t="inlineStr">
        <is>
          <t>Apex Funding</t>
        </is>
      </c>
      <c r="M1546" s="7" t="inlineStr">
        <is>
          <t>Pier Asset Mgmt</t>
        </is>
      </c>
    </row>
    <row r="1547">
      <c r="A1547" s="5" t="inlineStr">
        <is>
          <t>L101542</t>
        </is>
      </c>
      <c r="B1547" s="16" t="n">
        <v>263796.8</v>
      </c>
      <c r="C1547" s="16" t="n">
        <v>259747.63</v>
      </c>
      <c r="D1547" s="26" t="n">
        <v>6.401</v>
      </c>
      <c r="E1547" s="6" t="n">
        <v>707</v>
      </c>
      <c r="F1547" s="11" t="n">
        <v>81.2</v>
      </c>
      <c r="G1547" s="11" t="n">
        <v>32.8</v>
      </c>
      <c r="H1547" s="6" t="n">
        <v>16</v>
      </c>
      <c r="I1547" s="6" t="n">
        <v>344</v>
      </c>
      <c r="J1547" s="5" t="inlineStr">
        <is>
          <t>OH</t>
        </is>
      </c>
      <c r="K1547" s="5" t="inlineStr">
        <is>
          <t>SFR</t>
        </is>
      </c>
      <c r="L1547" s="5" t="inlineStr">
        <is>
          <t>Coastal Mortgage Co</t>
        </is>
      </c>
      <c r="M1547" s="5" t="inlineStr">
        <is>
          <t>Northgate Servicing</t>
        </is>
      </c>
    </row>
    <row r="1548">
      <c r="A1548" s="7" t="inlineStr">
        <is>
          <t>L101543</t>
        </is>
      </c>
      <c r="B1548" s="8" t="n">
        <v>234044.05</v>
      </c>
      <c r="C1548" s="8" t="n">
        <v>229085.16</v>
      </c>
      <c r="D1548" s="27" t="n">
        <v>5.83</v>
      </c>
      <c r="E1548" s="10" t="n">
        <v>737</v>
      </c>
      <c r="F1548" s="12" t="n">
        <v>59.6</v>
      </c>
      <c r="G1548" s="12" t="n">
        <v>31.3</v>
      </c>
      <c r="H1548" s="10" t="n">
        <v>6</v>
      </c>
      <c r="I1548" s="10" t="n">
        <v>174</v>
      </c>
      <c r="J1548" s="7" t="inlineStr">
        <is>
          <t>OH</t>
        </is>
      </c>
      <c r="K1548" s="7" t="inlineStr">
        <is>
          <t>Multifamily</t>
        </is>
      </c>
      <c r="L1548" s="7" t="inlineStr">
        <is>
          <t>Meridian Home Loans</t>
        </is>
      </c>
      <c r="M1548" s="7" t="inlineStr">
        <is>
          <t>Pier Asset Mgmt</t>
        </is>
      </c>
    </row>
    <row r="1549">
      <c r="A1549" s="5" t="inlineStr">
        <is>
          <t>L101544</t>
        </is>
      </c>
      <c r="B1549" s="16" t="n">
        <v>391346.1</v>
      </c>
      <c r="C1549" s="16" t="n">
        <v>382580.78</v>
      </c>
      <c r="D1549" s="26" t="n">
        <v>5.898</v>
      </c>
      <c r="E1549" s="6" t="n">
        <v>700</v>
      </c>
      <c r="F1549" s="11" t="n">
        <v>73.2</v>
      </c>
      <c r="G1549" s="11" t="n">
        <v>24.9</v>
      </c>
      <c r="H1549" s="6" t="n">
        <v>21</v>
      </c>
      <c r="I1549" s="6" t="n">
        <v>339</v>
      </c>
      <c r="J1549" s="5" t="inlineStr">
        <is>
          <t>IL</t>
        </is>
      </c>
      <c r="K1549" s="5" t="inlineStr">
        <is>
          <t>SFR</t>
        </is>
      </c>
      <c r="L1549" s="5" t="inlineStr">
        <is>
          <t>Highline Capital</t>
        </is>
      </c>
      <c r="M1549" s="5" t="inlineStr">
        <is>
          <t>Northgate Servicing</t>
        </is>
      </c>
    </row>
    <row r="1550">
      <c r="A1550" s="7" t="inlineStr">
        <is>
          <t>L101545</t>
        </is>
      </c>
      <c r="B1550" s="8" t="n">
        <v>223500.61</v>
      </c>
      <c r="C1550" s="8" t="n">
        <v>216128.14</v>
      </c>
      <c r="D1550" s="27" t="n">
        <v>7.287</v>
      </c>
      <c r="E1550" s="10" t="n">
        <v>679</v>
      </c>
      <c r="F1550" s="12" t="n">
        <v>94</v>
      </c>
      <c r="G1550" s="12" t="n">
        <v>48.7</v>
      </c>
      <c r="H1550" s="10" t="n">
        <v>38</v>
      </c>
      <c r="I1550" s="10" t="n">
        <v>322</v>
      </c>
      <c r="J1550" s="7" t="inlineStr">
        <is>
          <t>OH</t>
        </is>
      </c>
      <c r="K1550" s="7" t="inlineStr">
        <is>
          <t>SFR</t>
        </is>
      </c>
      <c r="L1550" s="7" t="inlineStr">
        <is>
          <t>Highline Capital</t>
        </is>
      </c>
      <c r="M1550" s="7" t="inlineStr">
        <is>
          <t>Pier Asset Mgmt</t>
        </is>
      </c>
    </row>
    <row r="1551">
      <c r="A1551" s="5" t="inlineStr">
        <is>
          <t>L101546</t>
        </is>
      </c>
      <c r="B1551" s="16" t="n">
        <v>130188.89</v>
      </c>
      <c r="C1551" s="16" t="n">
        <v>118036.73</v>
      </c>
      <c r="D1551" s="26" t="n">
        <v>7.324</v>
      </c>
      <c r="E1551" s="6" t="n">
        <v>803</v>
      </c>
      <c r="F1551" s="11" t="n">
        <v>94.59999999999999</v>
      </c>
      <c r="G1551" s="11" t="n">
        <v>38.4</v>
      </c>
      <c r="H1551" s="6" t="n">
        <v>28</v>
      </c>
      <c r="I1551" s="6" t="n">
        <v>152</v>
      </c>
      <c r="J1551" s="5" t="inlineStr">
        <is>
          <t>NC</t>
        </is>
      </c>
      <c r="K1551" s="5" t="inlineStr">
        <is>
          <t>SFR</t>
        </is>
      </c>
      <c r="L1551" s="5" t="inlineStr">
        <is>
          <t>Highline Capital</t>
        </is>
      </c>
      <c r="M1551" s="5" t="inlineStr">
        <is>
          <t>Summit Loan Servicing</t>
        </is>
      </c>
    </row>
    <row r="1552">
      <c r="A1552" s="7" t="inlineStr">
        <is>
          <t>L101547</t>
        </is>
      </c>
      <c r="B1552" s="8" t="n">
        <v>183297.53</v>
      </c>
      <c r="C1552" s="8" t="n">
        <v>175922.4</v>
      </c>
      <c r="D1552" s="27" t="n">
        <v>4.918</v>
      </c>
      <c r="E1552" s="10" t="n">
        <v>773</v>
      </c>
      <c r="F1552" s="12" t="n">
        <v>85.8</v>
      </c>
      <c r="G1552" s="12" t="n">
        <v>34.2</v>
      </c>
      <c r="H1552" s="10" t="n">
        <v>31</v>
      </c>
      <c r="I1552" s="10" t="n">
        <v>329</v>
      </c>
      <c r="J1552" s="7" t="inlineStr">
        <is>
          <t>WA</t>
        </is>
      </c>
      <c r="K1552" s="7" t="inlineStr">
        <is>
          <t>SFR</t>
        </is>
      </c>
      <c r="L1552" s="7" t="inlineStr">
        <is>
          <t>Coastal Mortgage Co</t>
        </is>
      </c>
      <c r="M1552" s="7" t="inlineStr">
        <is>
          <t>Northgate Servicing</t>
        </is>
      </c>
    </row>
    <row r="1553">
      <c r="A1553" s="5" t="inlineStr">
        <is>
          <t>L101548</t>
        </is>
      </c>
      <c r="B1553" s="16" t="n">
        <v>294465.49</v>
      </c>
      <c r="C1553" s="16" t="n">
        <v>281864.71</v>
      </c>
      <c r="D1553" s="26" t="n">
        <v>5.664</v>
      </c>
      <c r="E1553" s="6" t="n">
        <v>673</v>
      </c>
      <c r="F1553" s="11" t="n">
        <v>78</v>
      </c>
      <c r="G1553" s="11" t="n">
        <v>42.1</v>
      </c>
      <c r="H1553" s="6" t="n">
        <v>37</v>
      </c>
      <c r="I1553" s="6" t="n">
        <v>323</v>
      </c>
      <c r="J1553" s="5" t="inlineStr">
        <is>
          <t>WA</t>
        </is>
      </c>
      <c r="K1553" s="5" t="inlineStr">
        <is>
          <t>SFR</t>
        </is>
      </c>
      <c r="L1553" s="5" t="inlineStr">
        <is>
          <t>Meridian Home Loans</t>
        </is>
      </c>
      <c r="M1553" s="5" t="inlineStr">
        <is>
          <t>Summit Loan Servicing</t>
        </is>
      </c>
    </row>
    <row r="1554">
      <c r="A1554" s="7" t="inlineStr">
        <is>
          <t>L101549</t>
        </is>
      </c>
      <c r="B1554" s="8" t="n">
        <v>278849.69</v>
      </c>
      <c r="C1554" s="8" t="n">
        <v>274222.27</v>
      </c>
      <c r="D1554" s="27" t="n">
        <v>5.982</v>
      </c>
      <c r="E1554" s="10" t="n">
        <v>746</v>
      </c>
      <c r="F1554" s="12" t="n">
        <v>61.9</v>
      </c>
      <c r="G1554" s="12" t="n">
        <v>39.8</v>
      </c>
      <c r="H1554" s="10" t="n">
        <v>16</v>
      </c>
      <c r="I1554" s="10" t="n">
        <v>344</v>
      </c>
      <c r="J1554" s="7" t="inlineStr">
        <is>
          <t>WA</t>
        </is>
      </c>
      <c r="K1554" s="7" t="inlineStr">
        <is>
          <t>SFR</t>
        </is>
      </c>
      <c r="L1554" s="7" t="inlineStr">
        <is>
          <t>Apex Funding</t>
        </is>
      </c>
      <c r="M1554" s="7" t="inlineStr">
        <is>
          <t>Summit Loan Servicing</t>
        </is>
      </c>
    </row>
    <row r="1555">
      <c r="A1555" s="5" t="inlineStr">
        <is>
          <t>L101550</t>
        </is>
      </c>
      <c r="B1555" s="16" t="n">
        <v>140298.79</v>
      </c>
      <c r="C1555" s="16" t="n">
        <v>140065.33</v>
      </c>
      <c r="D1555" s="26" t="n">
        <v>6.939</v>
      </c>
      <c r="E1555" s="6" t="n">
        <v>674</v>
      </c>
      <c r="F1555" s="11" t="n">
        <v>82.59999999999999</v>
      </c>
      <c r="G1555" s="11" t="n">
        <v>38.2</v>
      </c>
      <c r="H1555" s="6" t="n">
        <v>2</v>
      </c>
      <c r="I1555" s="6" t="n">
        <v>358</v>
      </c>
      <c r="J1555" s="5" t="inlineStr">
        <is>
          <t>NY</t>
        </is>
      </c>
      <c r="K1555" s="5" t="inlineStr">
        <is>
          <t>SFR</t>
        </is>
      </c>
      <c r="L1555" s="5" t="inlineStr">
        <is>
          <t>Coastal Mortgage Co</t>
        </is>
      </c>
      <c r="M1555" s="5" t="inlineStr">
        <is>
          <t>Northgate Servicing</t>
        </is>
      </c>
    </row>
    <row r="1556">
      <c r="A1556" s="7" t="inlineStr">
        <is>
          <t>L101551</t>
        </is>
      </c>
      <c r="B1556" s="8" t="n">
        <v>188429.67</v>
      </c>
      <c r="C1556" s="8" t="n">
        <v>181649.88</v>
      </c>
      <c r="D1556" s="27" t="n">
        <v>7.429</v>
      </c>
      <c r="E1556" s="10" t="n">
        <v>650</v>
      </c>
      <c r="F1556" s="12" t="n">
        <v>72.09999999999999</v>
      </c>
      <c r="G1556" s="12" t="n">
        <v>41.5</v>
      </c>
      <c r="H1556" s="10" t="n">
        <v>42</v>
      </c>
      <c r="I1556" s="10" t="n">
        <v>318</v>
      </c>
      <c r="J1556" s="7" t="inlineStr">
        <is>
          <t>NC</t>
        </is>
      </c>
      <c r="K1556" s="7" t="inlineStr">
        <is>
          <t>SFR</t>
        </is>
      </c>
      <c r="L1556" s="7" t="inlineStr">
        <is>
          <t>Coastal Mortgage Co</t>
        </is>
      </c>
      <c r="M1556" s="7" t="inlineStr">
        <is>
          <t>Summit Loan Servicing</t>
        </is>
      </c>
    </row>
    <row r="1557">
      <c r="A1557" s="5" t="inlineStr">
        <is>
          <t>L101552</t>
        </is>
      </c>
      <c r="B1557" s="16" t="n">
        <v>198074.31</v>
      </c>
      <c r="C1557" s="16" t="n">
        <v>194467.1</v>
      </c>
      <c r="D1557" s="26" t="n">
        <v>8.832000000000001</v>
      </c>
      <c r="E1557" s="6" t="n">
        <v>772</v>
      </c>
      <c r="F1557" s="11" t="n">
        <v>80.7</v>
      </c>
      <c r="G1557" s="11" t="n">
        <v>37.1</v>
      </c>
      <c r="H1557" s="6" t="n">
        <v>29</v>
      </c>
      <c r="I1557" s="6" t="n">
        <v>331</v>
      </c>
      <c r="J1557" s="5" t="inlineStr">
        <is>
          <t>TX</t>
        </is>
      </c>
      <c r="K1557" s="5" t="inlineStr">
        <is>
          <t>Multifamily</t>
        </is>
      </c>
      <c r="L1557" s="5" t="inlineStr">
        <is>
          <t>Coastal Mortgage Co</t>
        </is>
      </c>
      <c r="M1557" s="5" t="inlineStr">
        <is>
          <t>Summit Loan Servicing</t>
        </is>
      </c>
    </row>
    <row r="1558">
      <c r="A1558" s="7" t="inlineStr">
        <is>
          <t>L101553</t>
        </is>
      </c>
      <c r="B1558" s="8" t="n">
        <v>213648.12</v>
      </c>
      <c r="C1558" s="8" t="n">
        <v>207495.22</v>
      </c>
      <c r="D1558" s="27" t="n">
        <v>5.981</v>
      </c>
      <c r="E1558" s="10" t="n">
        <v>621</v>
      </c>
      <c r="F1558" s="12" t="n">
        <v>66.40000000000001</v>
      </c>
      <c r="G1558" s="12" t="n">
        <v>41.4</v>
      </c>
      <c r="H1558" s="10" t="n">
        <v>27</v>
      </c>
      <c r="I1558" s="10" t="n">
        <v>333</v>
      </c>
      <c r="J1558" s="7" t="inlineStr">
        <is>
          <t>OH</t>
        </is>
      </c>
      <c r="K1558" s="7" t="inlineStr">
        <is>
          <t>SFR</t>
        </is>
      </c>
      <c r="L1558" s="7" t="inlineStr">
        <is>
          <t>Meridian Home Loans</t>
        </is>
      </c>
      <c r="M1558" s="7" t="inlineStr">
        <is>
          <t>Pier Asset Mgmt</t>
        </is>
      </c>
    </row>
    <row r="1559">
      <c r="A1559" s="5" t="inlineStr">
        <is>
          <t>L101554</t>
        </is>
      </c>
      <c r="B1559" s="16" t="n">
        <v>150005.95</v>
      </c>
      <c r="C1559" s="16" t="n">
        <v>145720.8</v>
      </c>
      <c r="D1559" s="26" t="n">
        <v>6.026</v>
      </c>
      <c r="E1559" s="6" t="n">
        <v>766</v>
      </c>
      <c r="F1559" s="11" t="n">
        <v>71.90000000000001</v>
      </c>
      <c r="G1559" s="11" t="n">
        <v>42</v>
      </c>
      <c r="H1559" s="6" t="n">
        <v>27</v>
      </c>
      <c r="I1559" s="6" t="n">
        <v>333</v>
      </c>
      <c r="J1559" s="5" t="inlineStr">
        <is>
          <t>NY</t>
        </is>
      </c>
      <c r="K1559" s="5" t="inlineStr">
        <is>
          <t>SFR</t>
        </is>
      </c>
      <c r="L1559" s="5" t="inlineStr">
        <is>
          <t>Highline Capital</t>
        </is>
      </c>
      <c r="M1559" s="5" t="inlineStr">
        <is>
          <t>Summit Loan Servicing</t>
        </is>
      </c>
    </row>
    <row r="1560">
      <c r="A1560" s="7" t="inlineStr">
        <is>
          <t>L101555</t>
        </is>
      </c>
      <c r="B1560" s="8" t="n">
        <v>194866.52</v>
      </c>
      <c r="C1560" s="8" t="n">
        <v>187398.8</v>
      </c>
      <c r="D1560" s="27" t="n">
        <v>6.93</v>
      </c>
      <c r="E1560" s="10" t="n">
        <v>701</v>
      </c>
      <c r="F1560" s="12" t="n">
        <v>76</v>
      </c>
      <c r="G1560" s="12" t="n">
        <v>37.3</v>
      </c>
      <c r="H1560" s="10" t="n">
        <v>41</v>
      </c>
      <c r="I1560" s="10" t="n">
        <v>319</v>
      </c>
      <c r="J1560" s="7" t="inlineStr">
        <is>
          <t>IL</t>
        </is>
      </c>
      <c r="K1560" s="7" t="inlineStr">
        <is>
          <t>Condo</t>
        </is>
      </c>
      <c r="L1560" s="7" t="inlineStr">
        <is>
          <t>Meridian Home Loans</t>
        </is>
      </c>
      <c r="M1560" s="7" t="inlineStr">
        <is>
          <t>Pier Asset Mgmt</t>
        </is>
      </c>
    </row>
    <row r="1561">
      <c r="A1561" s="5" t="inlineStr">
        <is>
          <t>L101556</t>
        </is>
      </c>
      <c r="B1561" s="16" t="n">
        <v>188148.41</v>
      </c>
      <c r="C1561" s="16" t="n">
        <v>180266.43</v>
      </c>
      <c r="D1561" s="26" t="n">
        <v>5.786</v>
      </c>
      <c r="E1561" s="6" t="n">
        <v>703</v>
      </c>
      <c r="F1561" s="11" t="n">
        <v>77</v>
      </c>
      <c r="G1561" s="11" t="n">
        <v>34.2</v>
      </c>
      <c r="H1561" s="6" t="n">
        <v>37</v>
      </c>
      <c r="I1561" s="6" t="n">
        <v>323</v>
      </c>
      <c r="J1561" s="5" t="inlineStr">
        <is>
          <t>GA</t>
        </is>
      </c>
      <c r="K1561" s="5" t="inlineStr">
        <is>
          <t>Condo</t>
        </is>
      </c>
      <c r="L1561" s="5" t="inlineStr">
        <is>
          <t>Highline Capital</t>
        </is>
      </c>
      <c r="M1561" s="5" t="inlineStr">
        <is>
          <t>Summit Loan Servicing</t>
        </is>
      </c>
    </row>
    <row r="1562">
      <c r="A1562" s="7" t="inlineStr">
        <is>
          <t>L101557</t>
        </is>
      </c>
      <c r="B1562" s="8" t="n">
        <v>318073.14</v>
      </c>
      <c r="C1562" s="8" t="n">
        <v>280960.45</v>
      </c>
      <c r="D1562" s="27" t="n">
        <v>6.273</v>
      </c>
      <c r="E1562" s="10" t="n">
        <v>738</v>
      </c>
      <c r="F1562" s="12" t="n">
        <v>79.90000000000001</v>
      </c>
      <c r="G1562" s="12" t="n">
        <v>48.2</v>
      </c>
      <c r="H1562" s="10" t="n">
        <v>32</v>
      </c>
      <c r="I1562" s="10" t="n">
        <v>148</v>
      </c>
      <c r="J1562" s="7" t="inlineStr">
        <is>
          <t>AZ</t>
        </is>
      </c>
      <c r="K1562" s="7" t="inlineStr">
        <is>
          <t>2-4 Unit</t>
        </is>
      </c>
      <c r="L1562" s="7" t="inlineStr">
        <is>
          <t>Highline Capital</t>
        </is>
      </c>
      <c r="M1562" s="7" t="inlineStr">
        <is>
          <t>Northgate Servicing</t>
        </is>
      </c>
    </row>
    <row r="1563">
      <c r="A1563" s="5" t="inlineStr">
        <is>
          <t>L101558</t>
        </is>
      </c>
      <c r="B1563" s="16" t="n">
        <v>322285.3</v>
      </c>
      <c r="C1563" s="16" t="n">
        <v>309340.25</v>
      </c>
      <c r="D1563" s="26" t="n">
        <v>6.026</v>
      </c>
      <c r="E1563" s="6" t="n">
        <v>747</v>
      </c>
      <c r="F1563" s="11" t="n">
        <v>67</v>
      </c>
      <c r="G1563" s="11" t="n">
        <v>32.2</v>
      </c>
      <c r="H1563" s="6" t="n">
        <v>37</v>
      </c>
      <c r="I1563" s="6" t="n">
        <v>323</v>
      </c>
      <c r="J1563" s="5" t="inlineStr">
        <is>
          <t>AZ</t>
        </is>
      </c>
      <c r="K1563" s="5" t="inlineStr">
        <is>
          <t>Multifamily</t>
        </is>
      </c>
      <c r="L1563" s="5" t="inlineStr">
        <is>
          <t>Meridian Home Loans</t>
        </is>
      </c>
      <c r="M1563" s="5" t="inlineStr">
        <is>
          <t>Summit Loan Servicing</t>
        </is>
      </c>
    </row>
    <row r="1564">
      <c r="A1564" s="7" t="inlineStr">
        <is>
          <t>L101559</t>
        </is>
      </c>
      <c r="B1564" s="8" t="n">
        <v>230721.43</v>
      </c>
      <c r="C1564" s="8" t="n">
        <v>217349.48</v>
      </c>
      <c r="D1564" s="27" t="n">
        <v>4.041</v>
      </c>
      <c r="E1564" s="10" t="n">
        <v>670</v>
      </c>
      <c r="F1564" s="12" t="n">
        <v>57.9</v>
      </c>
      <c r="G1564" s="12" t="n">
        <v>39.1</v>
      </c>
      <c r="H1564" s="10" t="n">
        <v>14</v>
      </c>
      <c r="I1564" s="10" t="n">
        <v>166</v>
      </c>
      <c r="J1564" s="7" t="inlineStr">
        <is>
          <t>WA</t>
        </is>
      </c>
      <c r="K1564" s="7" t="inlineStr">
        <is>
          <t>SFR</t>
        </is>
      </c>
      <c r="L1564" s="7" t="inlineStr">
        <is>
          <t>Apex Funding</t>
        </is>
      </c>
      <c r="M1564" s="7" t="inlineStr">
        <is>
          <t>Summit Loan Servicing</t>
        </is>
      </c>
    </row>
    <row r="1565">
      <c r="A1565" s="5" t="inlineStr">
        <is>
          <t>L101560</t>
        </is>
      </c>
      <c r="B1565" s="16" t="n">
        <v>211670.49</v>
      </c>
      <c r="C1565" s="16" t="n">
        <v>204562.07</v>
      </c>
      <c r="D1565" s="26" t="n">
        <v>6.511</v>
      </c>
      <c r="E1565" s="6" t="n">
        <v>754</v>
      </c>
      <c r="F1565" s="11" t="n">
        <v>93.5</v>
      </c>
      <c r="G1565" s="11" t="n">
        <v>39.3</v>
      </c>
      <c r="H1565" s="6" t="n">
        <v>34</v>
      </c>
      <c r="I1565" s="6" t="n">
        <v>326</v>
      </c>
      <c r="J1565" s="5" t="inlineStr">
        <is>
          <t>AZ</t>
        </is>
      </c>
      <c r="K1565" s="5" t="inlineStr">
        <is>
          <t>SFR</t>
        </is>
      </c>
      <c r="L1565" s="5" t="inlineStr">
        <is>
          <t>Meridian Home Loans</t>
        </is>
      </c>
      <c r="M1565" s="5" t="inlineStr">
        <is>
          <t>Pier Asset Mgmt</t>
        </is>
      </c>
    </row>
    <row r="1566">
      <c r="A1566" s="7" t="inlineStr">
        <is>
          <t>L101561</t>
        </is>
      </c>
      <c r="B1566" s="8" t="n">
        <v>254988.44</v>
      </c>
      <c r="C1566" s="8" t="n">
        <v>242418.92</v>
      </c>
      <c r="D1566" s="27" t="n">
        <v>6.236</v>
      </c>
      <c r="E1566" s="10" t="n">
        <v>721</v>
      </c>
      <c r="F1566" s="12" t="n">
        <v>97</v>
      </c>
      <c r="G1566" s="12" t="n">
        <v>31.1</v>
      </c>
      <c r="H1566" s="10" t="n">
        <v>46</v>
      </c>
      <c r="I1566" s="10" t="n">
        <v>314</v>
      </c>
      <c r="J1566" s="7" t="inlineStr">
        <is>
          <t>AZ</t>
        </is>
      </c>
      <c r="K1566" s="7" t="inlineStr">
        <is>
          <t>Condo</t>
        </is>
      </c>
      <c r="L1566" s="7" t="inlineStr">
        <is>
          <t>Highline Capital</t>
        </is>
      </c>
      <c r="M1566" s="7" t="inlineStr">
        <is>
          <t>Summit Loan Servicing</t>
        </is>
      </c>
    </row>
    <row r="1567">
      <c r="A1567" s="5" t="inlineStr">
        <is>
          <t>L101562</t>
        </is>
      </c>
      <c r="B1567" s="16" t="n">
        <v>182444.03</v>
      </c>
      <c r="C1567" s="16" t="n">
        <v>180776.62</v>
      </c>
      <c r="D1567" s="26" t="n">
        <v>7.544</v>
      </c>
      <c r="E1567" s="6" t="n">
        <v>646</v>
      </c>
      <c r="F1567" s="11" t="n">
        <v>79.40000000000001</v>
      </c>
      <c r="G1567" s="11" t="n">
        <v>29.5</v>
      </c>
      <c r="H1567" s="6" t="n">
        <v>12</v>
      </c>
      <c r="I1567" s="6" t="n">
        <v>348</v>
      </c>
      <c r="J1567" s="5" t="inlineStr">
        <is>
          <t>GA</t>
        </is>
      </c>
      <c r="K1567" s="5" t="inlineStr">
        <is>
          <t>SFR</t>
        </is>
      </c>
      <c r="L1567" s="5" t="inlineStr">
        <is>
          <t>Apex Funding</t>
        </is>
      </c>
      <c r="M1567" s="5" t="inlineStr">
        <is>
          <t>Pier Asset Mgmt</t>
        </is>
      </c>
    </row>
    <row r="1568">
      <c r="A1568" s="7" t="inlineStr">
        <is>
          <t>L101563</t>
        </is>
      </c>
      <c r="B1568" s="8" t="n">
        <v>162528.52</v>
      </c>
      <c r="C1568" s="8" t="n">
        <v>146895.36</v>
      </c>
      <c r="D1568" s="27" t="n">
        <v>6.405</v>
      </c>
      <c r="E1568" s="10" t="n">
        <v>706</v>
      </c>
      <c r="F1568" s="12" t="n">
        <v>58.1</v>
      </c>
      <c r="G1568" s="12" t="n">
        <v>33.2</v>
      </c>
      <c r="H1568" s="10" t="n">
        <v>27</v>
      </c>
      <c r="I1568" s="10" t="n">
        <v>153</v>
      </c>
      <c r="J1568" s="7" t="inlineStr">
        <is>
          <t>IL</t>
        </is>
      </c>
      <c r="K1568" s="7" t="inlineStr">
        <is>
          <t>Condo</t>
        </is>
      </c>
      <c r="L1568" s="7" t="inlineStr">
        <is>
          <t>Meridian Home Loans</t>
        </is>
      </c>
      <c r="M1568" s="7" t="inlineStr">
        <is>
          <t>Northgate Servicing</t>
        </is>
      </c>
    </row>
    <row r="1569">
      <c r="A1569" s="5" t="inlineStr">
        <is>
          <t>L101564</t>
        </is>
      </c>
      <c r="B1569" s="16" t="n">
        <v>174716.96</v>
      </c>
      <c r="C1569" s="16" t="n">
        <v>167644.7</v>
      </c>
      <c r="D1569" s="26" t="n">
        <v>5.271</v>
      </c>
      <c r="E1569" s="6" t="n">
        <v>791</v>
      </c>
      <c r="F1569" s="11" t="n">
        <v>64.7</v>
      </c>
      <c r="G1569" s="11" t="n">
        <v>32.1</v>
      </c>
      <c r="H1569" s="6" t="n">
        <v>33</v>
      </c>
      <c r="I1569" s="6" t="n">
        <v>327</v>
      </c>
      <c r="J1569" s="5" t="inlineStr">
        <is>
          <t>WA</t>
        </is>
      </c>
      <c r="K1569" s="5" t="inlineStr">
        <is>
          <t>SFR</t>
        </is>
      </c>
      <c r="L1569" s="5" t="inlineStr">
        <is>
          <t>Highline Capital</t>
        </is>
      </c>
      <c r="M1569" s="5" t="inlineStr">
        <is>
          <t>Northgate Servicing</t>
        </is>
      </c>
    </row>
    <row r="1570">
      <c r="A1570" s="7" t="inlineStr">
        <is>
          <t>L101565</t>
        </is>
      </c>
      <c r="B1570" s="8" t="n">
        <v>194427.65</v>
      </c>
      <c r="C1570" s="8" t="n">
        <v>189441.52</v>
      </c>
      <c r="D1570" s="27" t="n">
        <v>6.168</v>
      </c>
      <c r="E1570" s="10" t="n">
        <v>807</v>
      </c>
      <c r="F1570" s="12" t="n">
        <v>80.09999999999999</v>
      </c>
      <c r="G1570" s="12" t="n">
        <v>24.3</v>
      </c>
      <c r="H1570" s="10" t="n">
        <v>25</v>
      </c>
      <c r="I1570" s="10" t="n">
        <v>335</v>
      </c>
      <c r="J1570" s="7" t="inlineStr">
        <is>
          <t>NY</t>
        </is>
      </c>
      <c r="K1570" s="7" t="inlineStr">
        <is>
          <t>2-4 Unit</t>
        </is>
      </c>
      <c r="L1570" s="7" t="inlineStr">
        <is>
          <t>Highline Capital</t>
        </is>
      </c>
      <c r="M1570" s="7" t="inlineStr">
        <is>
          <t>Pier Asset Mgmt</t>
        </is>
      </c>
    </row>
    <row r="1571">
      <c r="A1571" s="5" t="inlineStr">
        <is>
          <t>L101566</t>
        </is>
      </c>
      <c r="B1571" s="16" t="n">
        <v>161584.61</v>
      </c>
      <c r="C1571" s="16" t="n">
        <v>150954.53</v>
      </c>
      <c r="D1571" s="26" t="n">
        <v>4.518</v>
      </c>
      <c r="E1571" s="6" t="n">
        <v>754</v>
      </c>
      <c r="F1571" s="11" t="n">
        <v>90.09999999999999</v>
      </c>
      <c r="G1571" s="11" t="n">
        <v>30.8</v>
      </c>
      <c r="H1571" s="6" t="n">
        <v>46</v>
      </c>
      <c r="I1571" s="6" t="n">
        <v>314</v>
      </c>
      <c r="J1571" s="5" t="inlineStr">
        <is>
          <t>NC</t>
        </is>
      </c>
      <c r="K1571" s="5" t="inlineStr">
        <is>
          <t>Condo</t>
        </is>
      </c>
      <c r="L1571" s="5" t="inlineStr">
        <is>
          <t>Highline Capital</t>
        </is>
      </c>
      <c r="M1571" s="5" t="inlineStr">
        <is>
          <t>Northgate Servicing</t>
        </is>
      </c>
    </row>
    <row r="1572">
      <c r="A1572" s="7" t="inlineStr">
        <is>
          <t>L101567</t>
        </is>
      </c>
      <c r="B1572" s="8" t="n">
        <v>256971.6</v>
      </c>
      <c r="C1572" s="8" t="n">
        <v>251207.45</v>
      </c>
      <c r="D1572" s="27" t="n">
        <v>5.31</v>
      </c>
      <c r="E1572" s="10" t="n">
        <v>650</v>
      </c>
      <c r="F1572" s="12" t="n">
        <v>59.4</v>
      </c>
      <c r="G1572" s="12" t="n">
        <v>38.1</v>
      </c>
      <c r="H1572" s="10" t="n">
        <v>19</v>
      </c>
      <c r="I1572" s="10" t="n">
        <v>341</v>
      </c>
      <c r="J1572" s="7" t="inlineStr">
        <is>
          <t>FL</t>
        </is>
      </c>
      <c r="K1572" s="7" t="inlineStr">
        <is>
          <t>SFR</t>
        </is>
      </c>
      <c r="L1572" s="7" t="inlineStr">
        <is>
          <t>Coastal Mortgage Co</t>
        </is>
      </c>
      <c r="M1572" s="7" t="inlineStr">
        <is>
          <t>Northgate Servicing</t>
        </is>
      </c>
    </row>
    <row r="1573">
      <c r="A1573" s="5" t="inlineStr">
        <is>
          <t>L101568</t>
        </is>
      </c>
      <c r="B1573" s="16" t="n">
        <v>313451.68</v>
      </c>
      <c r="C1573" s="16" t="n">
        <v>302224.64</v>
      </c>
      <c r="D1573" s="26" t="n">
        <v>6.972</v>
      </c>
      <c r="E1573" s="6" t="n">
        <v>742</v>
      </c>
      <c r="F1573" s="11" t="n">
        <v>72.5</v>
      </c>
      <c r="G1573" s="11" t="n">
        <v>46.1</v>
      </c>
      <c r="H1573" s="6" t="n">
        <v>11</v>
      </c>
      <c r="I1573" s="6" t="n">
        <v>169</v>
      </c>
      <c r="J1573" s="5" t="inlineStr">
        <is>
          <t>IL</t>
        </is>
      </c>
      <c r="K1573" s="5" t="inlineStr">
        <is>
          <t>SFR</t>
        </is>
      </c>
      <c r="L1573" s="5" t="inlineStr">
        <is>
          <t>Highline Capital</t>
        </is>
      </c>
      <c r="M1573" s="5" t="inlineStr">
        <is>
          <t>Northgate Servicing</t>
        </is>
      </c>
    </row>
    <row r="1574">
      <c r="A1574" s="7" t="inlineStr">
        <is>
          <t>L101569</t>
        </is>
      </c>
      <c r="B1574" s="8" t="n">
        <v>139318.17</v>
      </c>
      <c r="C1574" s="8" t="n">
        <v>135963.64</v>
      </c>
      <c r="D1574" s="27" t="n">
        <v>6.177</v>
      </c>
      <c r="E1574" s="10" t="n">
        <v>762</v>
      </c>
      <c r="F1574" s="12" t="n">
        <v>76.40000000000001</v>
      </c>
      <c r="G1574" s="12" t="n">
        <v>40.4</v>
      </c>
      <c r="H1574" s="10" t="n">
        <v>7</v>
      </c>
      <c r="I1574" s="10" t="n">
        <v>173</v>
      </c>
      <c r="J1574" s="7" t="inlineStr">
        <is>
          <t>NY</t>
        </is>
      </c>
      <c r="K1574" s="7" t="inlineStr">
        <is>
          <t>Multifamily</t>
        </is>
      </c>
      <c r="L1574" s="7" t="inlineStr">
        <is>
          <t>Apex Funding</t>
        </is>
      </c>
      <c r="M1574" s="7" t="inlineStr">
        <is>
          <t>Northgate Servicing</t>
        </is>
      </c>
    </row>
    <row r="1575">
      <c r="A1575" s="5" t="inlineStr">
        <is>
          <t>L101570</t>
        </is>
      </c>
      <c r="B1575" s="16" t="n">
        <v>244946.49</v>
      </c>
      <c r="C1575" s="16" t="n">
        <v>236298.4</v>
      </c>
      <c r="D1575" s="26" t="n">
        <v>7.23</v>
      </c>
      <c r="E1575" s="6" t="n">
        <v>755</v>
      </c>
      <c r="F1575" s="11" t="n">
        <v>84.40000000000001</v>
      </c>
      <c r="G1575" s="11" t="n">
        <v>15.2</v>
      </c>
      <c r="H1575" s="6" t="n">
        <v>40</v>
      </c>
      <c r="I1575" s="6" t="n">
        <v>320</v>
      </c>
      <c r="J1575" s="5" t="inlineStr">
        <is>
          <t>FL</t>
        </is>
      </c>
      <c r="K1575" s="5" t="inlineStr">
        <is>
          <t>Condo</t>
        </is>
      </c>
      <c r="L1575" s="5" t="inlineStr">
        <is>
          <t>Apex Funding</t>
        </is>
      </c>
      <c r="M1575" s="5" t="inlineStr">
        <is>
          <t>Pier Asset Mgmt</t>
        </is>
      </c>
    </row>
    <row r="1576">
      <c r="A1576" s="7" t="inlineStr">
        <is>
          <t>L101571</t>
        </is>
      </c>
      <c r="B1576" s="8" t="n">
        <v>224812.61</v>
      </c>
      <c r="C1576" s="8" t="n">
        <v>214658.43</v>
      </c>
      <c r="D1576" s="27" t="n">
        <v>4.63</v>
      </c>
      <c r="E1576" s="10" t="n">
        <v>758</v>
      </c>
      <c r="F1576" s="12" t="n">
        <v>69.90000000000001</v>
      </c>
      <c r="G1576" s="12" t="n">
        <v>41.1</v>
      </c>
      <c r="H1576" s="10" t="n">
        <v>33</v>
      </c>
      <c r="I1576" s="10" t="n">
        <v>327</v>
      </c>
      <c r="J1576" s="7" t="inlineStr">
        <is>
          <t>OH</t>
        </is>
      </c>
      <c r="K1576" s="7" t="inlineStr">
        <is>
          <t>2-4 Unit</t>
        </is>
      </c>
      <c r="L1576" s="7" t="inlineStr">
        <is>
          <t>Coastal Mortgage Co</t>
        </is>
      </c>
      <c r="M1576" s="7" t="inlineStr">
        <is>
          <t>Northgate Servicing</t>
        </is>
      </c>
    </row>
    <row r="1577">
      <c r="A1577" s="5" t="inlineStr">
        <is>
          <t>L101572</t>
        </is>
      </c>
      <c r="B1577" s="16" t="n">
        <v>273628.89</v>
      </c>
      <c r="C1577" s="16" t="n">
        <v>265727.54</v>
      </c>
      <c r="D1577" s="26" t="n">
        <v>6.182</v>
      </c>
      <c r="E1577" s="6" t="n">
        <v>735</v>
      </c>
      <c r="F1577" s="11" t="n">
        <v>55.2</v>
      </c>
      <c r="G1577" s="11" t="n">
        <v>31.5</v>
      </c>
      <c r="H1577" s="6" t="n">
        <v>28</v>
      </c>
      <c r="I1577" s="6" t="n">
        <v>332</v>
      </c>
      <c r="J1577" s="5" t="inlineStr">
        <is>
          <t>AZ</t>
        </is>
      </c>
      <c r="K1577" s="5" t="inlineStr">
        <is>
          <t>2-4 Unit</t>
        </is>
      </c>
      <c r="L1577" s="5" t="inlineStr">
        <is>
          <t>Coastal Mortgage Co</t>
        </is>
      </c>
      <c r="M1577" s="5" t="inlineStr">
        <is>
          <t>Summit Loan Servicing</t>
        </is>
      </c>
    </row>
    <row r="1578">
      <c r="A1578" s="7" t="inlineStr">
        <is>
          <t>L101573</t>
        </is>
      </c>
      <c r="B1578" s="8" t="n">
        <v>241704.56</v>
      </c>
      <c r="C1578" s="8" t="n">
        <v>236363.49</v>
      </c>
      <c r="D1578" s="27" t="n">
        <v>5.972</v>
      </c>
      <c r="E1578" s="10" t="n">
        <v>711</v>
      </c>
      <c r="F1578" s="12" t="n">
        <v>81.5</v>
      </c>
      <c r="G1578" s="12" t="n">
        <v>39.6</v>
      </c>
      <c r="H1578" s="10" t="n">
        <v>21</v>
      </c>
      <c r="I1578" s="10" t="n">
        <v>339</v>
      </c>
      <c r="J1578" s="7" t="inlineStr">
        <is>
          <t>AZ</t>
        </is>
      </c>
      <c r="K1578" s="7" t="inlineStr">
        <is>
          <t>SFR</t>
        </is>
      </c>
      <c r="L1578" s="7" t="inlineStr">
        <is>
          <t>Apex Funding</t>
        </is>
      </c>
      <c r="M1578" s="7" t="inlineStr">
        <is>
          <t>Pier Asset Mgmt</t>
        </is>
      </c>
    </row>
    <row r="1579">
      <c r="A1579" s="5" t="inlineStr">
        <is>
          <t>L101574</t>
        </is>
      </c>
      <c r="B1579" s="16" t="n">
        <v>145982.24</v>
      </c>
      <c r="C1579" s="16" t="n">
        <v>143573.65</v>
      </c>
      <c r="D1579" s="26" t="n">
        <v>7.26</v>
      </c>
      <c r="E1579" s="6" t="n">
        <v>682</v>
      </c>
      <c r="F1579" s="11" t="n">
        <v>87.5</v>
      </c>
      <c r="G1579" s="11" t="n">
        <v>35.9</v>
      </c>
      <c r="H1579" s="6" t="n">
        <v>20</v>
      </c>
      <c r="I1579" s="6" t="n">
        <v>340</v>
      </c>
      <c r="J1579" s="5" t="inlineStr">
        <is>
          <t>CA</t>
        </is>
      </c>
      <c r="K1579" s="5" t="inlineStr">
        <is>
          <t>SFR</t>
        </is>
      </c>
      <c r="L1579" s="5" t="inlineStr">
        <is>
          <t>Apex Funding</t>
        </is>
      </c>
      <c r="M1579" s="5" t="inlineStr">
        <is>
          <t>Northgate Servicing</t>
        </is>
      </c>
    </row>
    <row r="1580">
      <c r="A1580" s="7" t="inlineStr">
        <is>
          <t>L101575</t>
        </is>
      </c>
      <c r="B1580" s="8" t="n">
        <v>156086.21</v>
      </c>
      <c r="C1580" s="8" t="n">
        <v>149695.15</v>
      </c>
      <c r="D1580" s="27" t="n">
        <v>7.005</v>
      </c>
      <c r="E1580" s="10" t="n">
        <v>611</v>
      </c>
      <c r="F1580" s="12" t="n">
        <v>73</v>
      </c>
      <c r="G1580" s="12" t="n">
        <v>34.5</v>
      </c>
      <c r="H1580" s="10" t="n">
        <v>44</v>
      </c>
      <c r="I1580" s="10" t="n">
        <v>316</v>
      </c>
      <c r="J1580" s="7" t="inlineStr">
        <is>
          <t>FL</t>
        </is>
      </c>
      <c r="K1580" s="7" t="inlineStr">
        <is>
          <t>SFR</t>
        </is>
      </c>
      <c r="L1580" s="7" t="inlineStr">
        <is>
          <t>Meridian Home Loans</t>
        </is>
      </c>
      <c r="M1580" s="7" t="inlineStr">
        <is>
          <t>Pier Asset Mgmt</t>
        </is>
      </c>
    </row>
    <row r="1581">
      <c r="A1581" s="5" t="inlineStr">
        <is>
          <t>L101576</t>
        </is>
      </c>
      <c r="B1581" s="16" t="n">
        <v>245314.97</v>
      </c>
      <c r="C1581" s="16" t="n">
        <v>238234.5</v>
      </c>
      <c r="D1581" s="26" t="n">
        <v>6.978</v>
      </c>
      <c r="E1581" s="6" t="n">
        <v>734</v>
      </c>
      <c r="F1581" s="11" t="n">
        <v>78.90000000000001</v>
      </c>
      <c r="G1581" s="11" t="n">
        <v>35.2</v>
      </c>
      <c r="H1581" s="6" t="n">
        <v>32</v>
      </c>
      <c r="I1581" s="6" t="n">
        <v>328</v>
      </c>
      <c r="J1581" s="5" t="inlineStr">
        <is>
          <t>FL</t>
        </is>
      </c>
      <c r="K1581" s="5" t="inlineStr">
        <is>
          <t>Condo</t>
        </is>
      </c>
      <c r="L1581" s="5" t="inlineStr">
        <is>
          <t>Coastal Mortgage Co</t>
        </is>
      </c>
      <c r="M1581" s="5" t="inlineStr">
        <is>
          <t>Northgate Servicing</t>
        </is>
      </c>
    </row>
    <row r="1582">
      <c r="A1582" s="7" t="inlineStr">
        <is>
          <t>L101577</t>
        </is>
      </c>
      <c r="B1582" s="8" t="n">
        <v>348040.22</v>
      </c>
      <c r="C1582" s="8" t="n">
        <v>335019.78</v>
      </c>
      <c r="D1582" s="27" t="n">
        <v>7.787</v>
      </c>
      <c r="E1582" s="10" t="n">
        <v>725</v>
      </c>
      <c r="F1582" s="12" t="n">
        <v>68.3</v>
      </c>
      <c r="G1582" s="12" t="n">
        <v>35.8</v>
      </c>
      <c r="H1582" s="10" t="n">
        <v>46</v>
      </c>
      <c r="I1582" s="10" t="n">
        <v>314</v>
      </c>
      <c r="J1582" s="7" t="inlineStr">
        <is>
          <t>AZ</t>
        </is>
      </c>
      <c r="K1582" s="7" t="inlineStr">
        <is>
          <t>SFR</t>
        </is>
      </c>
      <c r="L1582" s="7" t="inlineStr">
        <is>
          <t>Meridian Home Loans</t>
        </is>
      </c>
      <c r="M1582" s="7" t="inlineStr">
        <is>
          <t>Summit Loan Servicing</t>
        </is>
      </c>
    </row>
    <row r="1583">
      <c r="A1583" s="5" t="inlineStr">
        <is>
          <t>L101578</t>
        </is>
      </c>
      <c r="B1583" s="16" t="n">
        <v>111863.47</v>
      </c>
      <c r="C1583" s="16" t="n">
        <v>95886.67</v>
      </c>
      <c r="D1583" s="26" t="n">
        <v>6.069</v>
      </c>
      <c r="E1583" s="6" t="n">
        <v>746</v>
      </c>
      <c r="F1583" s="11" t="n">
        <v>63.9</v>
      </c>
      <c r="G1583" s="11" t="n">
        <v>46.8</v>
      </c>
      <c r="H1583" s="6" t="n">
        <v>38</v>
      </c>
      <c r="I1583" s="6" t="n">
        <v>142</v>
      </c>
      <c r="J1583" s="5" t="inlineStr">
        <is>
          <t>OH</t>
        </is>
      </c>
      <c r="K1583" s="5" t="inlineStr">
        <is>
          <t>SFR</t>
        </is>
      </c>
      <c r="L1583" s="5" t="inlineStr">
        <is>
          <t>Coastal Mortgage Co</t>
        </is>
      </c>
      <c r="M1583" s="5" t="inlineStr">
        <is>
          <t>Pier Asset Mgmt</t>
        </is>
      </c>
    </row>
    <row r="1584">
      <c r="A1584" s="7" t="inlineStr">
        <is>
          <t>L101579</t>
        </is>
      </c>
      <c r="B1584" s="8" t="n">
        <v>274033.13</v>
      </c>
      <c r="C1584" s="8" t="n">
        <v>265754.37</v>
      </c>
      <c r="D1584" s="27" t="n">
        <v>7.602</v>
      </c>
      <c r="E1584" s="10" t="n">
        <v>641</v>
      </c>
      <c r="F1584" s="12" t="n">
        <v>86.3</v>
      </c>
      <c r="G1584" s="12" t="n">
        <v>35.8</v>
      </c>
      <c r="H1584" s="10" t="n">
        <v>37</v>
      </c>
      <c r="I1584" s="10" t="n">
        <v>323</v>
      </c>
      <c r="J1584" s="7" t="inlineStr">
        <is>
          <t>NY</t>
        </is>
      </c>
      <c r="K1584" s="7" t="inlineStr">
        <is>
          <t>Multifamily</t>
        </is>
      </c>
      <c r="L1584" s="7" t="inlineStr">
        <is>
          <t>Highline Capital</t>
        </is>
      </c>
      <c r="M1584" s="7" t="inlineStr">
        <is>
          <t>Pier Asset Mgmt</t>
        </is>
      </c>
    </row>
    <row r="1585">
      <c r="A1585" s="5" t="inlineStr">
        <is>
          <t>L101580</t>
        </is>
      </c>
      <c r="B1585" s="16" t="n">
        <v>368194.9</v>
      </c>
      <c r="C1585" s="16" t="n">
        <v>356557.73</v>
      </c>
      <c r="D1585" s="26" t="n">
        <v>5.46</v>
      </c>
      <c r="E1585" s="6" t="n">
        <v>750</v>
      </c>
      <c r="F1585" s="11" t="n">
        <v>78.59999999999999</v>
      </c>
      <c r="G1585" s="11" t="n">
        <v>44.7</v>
      </c>
      <c r="H1585" s="6" t="n">
        <v>27</v>
      </c>
      <c r="I1585" s="6" t="n">
        <v>333</v>
      </c>
      <c r="J1585" s="5" t="inlineStr">
        <is>
          <t>NY</t>
        </is>
      </c>
      <c r="K1585" s="5" t="inlineStr">
        <is>
          <t>SFR</t>
        </is>
      </c>
      <c r="L1585" s="5" t="inlineStr">
        <is>
          <t>Apex Funding</t>
        </is>
      </c>
      <c r="M1585" s="5" t="inlineStr">
        <is>
          <t>Summit Loan Servicing</t>
        </is>
      </c>
    </row>
    <row r="1586">
      <c r="A1586" s="7" t="inlineStr">
        <is>
          <t>L101581</t>
        </is>
      </c>
      <c r="B1586" s="8" t="n">
        <v>230139.5</v>
      </c>
      <c r="C1586" s="8" t="n">
        <v>226997.56</v>
      </c>
      <c r="D1586" s="27" t="n">
        <v>5.427</v>
      </c>
      <c r="E1586" s="10" t="n">
        <v>820</v>
      </c>
      <c r="F1586" s="12" t="n">
        <v>79.90000000000001</v>
      </c>
      <c r="G1586" s="12" t="n">
        <v>43.5</v>
      </c>
      <c r="H1586" s="10" t="n">
        <v>12</v>
      </c>
      <c r="I1586" s="10" t="n">
        <v>348</v>
      </c>
      <c r="J1586" s="7" t="inlineStr">
        <is>
          <t>GA</t>
        </is>
      </c>
      <c r="K1586" s="7" t="inlineStr">
        <is>
          <t>Condo</t>
        </is>
      </c>
      <c r="L1586" s="7" t="inlineStr">
        <is>
          <t>Meridian Home Loans</t>
        </is>
      </c>
      <c r="M1586" s="7" t="inlineStr">
        <is>
          <t>Pier Asset Mgmt</t>
        </is>
      </c>
    </row>
    <row r="1587">
      <c r="A1587" s="5" t="inlineStr">
        <is>
          <t>L101582</t>
        </is>
      </c>
      <c r="B1587" s="16" t="n">
        <v>294363.56</v>
      </c>
      <c r="C1587" s="16" t="n">
        <v>286306.12</v>
      </c>
      <c r="D1587" s="26" t="n">
        <v>7.077</v>
      </c>
      <c r="E1587" s="6" t="n">
        <v>719</v>
      </c>
      <c r="F1587" s="11" t="n">
        <v>92</v>
      </c>
      <c r="G1587" s="11" t="n">
        <v>41.3</v>
      </c>
      <c r="H1587" s="6" t="n">
        <v>31</v>
      </c>
      <c r="I1587" s="6" t="n">
        <v>329</v>
      </c>
      <c r="J1587" s="5" t="inlineStr">
        <is>
          <t>WA</t>
        </is>
      </c>
      <c r="K1587" s="5" t="inlineStr">
        <is>
          <t>SFR</t>
        </is>
      </c>
      <c r="L1587" s="5" t="inlineStr">
        <is>
          <t>Apex Funding</t>
        </is>
      </c>
      <c r="M1587" s="5" t="inlineStr">
        <is>
          <t>Summit Loan Servicing</t>
        </is>
      </c>
    </row>
    <row r="1588">
      <c r="A1588" s="7" t="inlineStr">
        <is>
          <t>L101583</t>
        </is>
      </c>
      <c r="B1588" s="8" t="n">
        <v>189837.9</v>
      </c>
      <c r="C1588" s="8" t="n">
        <v>181589.99</v>
      </c>
      <c r="D1588" s="27" t="n">
        <v>5.046</v>
      </c>
      <c r="E1588" s="10" t="n">
        <v>712</v>
      </c>
      <c r="F1588" s="12" t="n">
        <v>61.3</v>
      </c>
      <c r="G1588" s="12" t="n">
        <v>21.7</v>
      </c>
      <c r="H1588" s="10" t="n">
        <v>34</v>
      </c>
      <c r="I1588" s="10" t="n">
        <v>326</v>
      </c>
      <c r="J1588" s="7" t="inlineStr">
        <is>
          <t>NY</t>
        </is>
      </c>
      <c r="K1588" s="7" t="inlineStr">
        <is>
          <t>SFR</t>
        </is>
      </c>
      <c r="L1588" s="7" t="inlineStr">
        <is>
          <t>Meridian Home Loans</t>
        </is>
      </c>
      <c r="M1588" s="7" t="inlineStr">
        <is>
          <t>Pier Asset Mgmt</t>
        </is>
      </c>
    </row>
    <row r="1589">
      <c r="A1589" s="5" t="inlineStr">
        <is>
          <t>L101584</t>
        </is>
      </c>
      <c r="B1589" s="16" t="n">
        <v>232866.78</v>
      </c>
      <c r="C1589" s="16" t="n">
        <v>227663.34</v>
      </c>
      <c r="D1589" s="26" t="n">
        <v>6.915</v>
      </c>
      <c r="E1589" s="6" t="n">
        <v>732</v>
      </c>
      <c r="F1589" s="11" t="n">
        <v>67.40000000000001</v>
      </c>
      <c r="G1589" s="11" t="n">
        <v>44.9</v>
      </c>
      <c r="H1589" s="6" t="n">
        <v>25</v>
      </c>
      <c r="I1589" s="6" t="n">
        <v>335</v>
      </c>
      <c r="J1589" s="5" t="inlineStr">
        <is>
          <t>FL</t>
        </is>
      </c>
      <c r="K1589" s="5" t="inlineStr">
        <is>
          <t>SFR</t>
        </is>
      </c>
      <c r="L1589" s="5" t="inlineStr">
        <is>
          <t>Meridian Home Loans</t>
        </is>
      </c>
      <c r="M1589" s="5" t="inlineStr">
        <is>
          <t>Northgate Servicing</t>
        </is>
      </c>
    </row>
    <row r="1590">
      <c r="A1590" s="7" t="inlineStr">
        <is>
          <t>L101585</t>
        </is>
      </c>
      <c r="B1590" s="8" t="n">
        <v>137679.01</v>
      </c>
      <c r="C1590" s="8" t="n">
        <v>137554.33</v>
      </c>
      <c r="D1590" s="27" t="n">
        <v>6.491</v>
      </c>
      <c r="E1590" s="10" t="n">
        <v>820</v>
      </c>
      <c r="F1590" s="12" t="n">
        <v>75.90000000000001</v>
      </c>
      <c r="G1590" s="12" t="n">
        <v>32.3</v>
      </c>
      <c r="H1590" s="10" t="n">
        <v>1</v>
      </c>
      <c r="I1590" s="10" t="n">
        <v>359</v>
      </c>
      <c r="J1590" s="7" t="inlineStr">
        <is>
          <t>GA</t>
        </is>
      </c>
      <c r="K1590" s="7" t="inlineStr">
        <is>
          <t>Condo</t>
        </is>
      </c>
      <c r="L1590" s="7" t="inlineStr">
        <is>
          <t>Highline Capital</t>
        </is>
      </c>
      <c r="M1590" s="7" t="inlineStr">
        <is>
          <t>Northgate Servicing</t>
        </is>
      </c>
    </row>
    <row r="1591">
      <c r="A1591" s="5" t="inlineStr">
        <is>
          <t>L101586</t>
        </is>
      </c>
      <c r="B1591" s="16" t="n">
        <v>106881.91</v>
      </c>
      <c r="C1591" s="16" t="n">
        <v>102565.84</v>
      </c>
      <c r="D1591" s="26" t="n">
        <v>7.365</v>
      </c>
      <c r="E1591" s="6" t="n">
        <v>659</v>
      </c>
      <c r="F1591" s="11" t="n">
        <v>67.2</v>
      </c>
      <c r="G1591" s="11" t="n">
        <v>41.7</v>
      </c>
      <c r="H1591" s="6" t="n">
        <v>46</v>
      </c>
      <c r="I1591" s="6" t="n">
        <v>314</v>
      </c>
      <c r="J1591" s="5" t="inlineStr">
        <is>
          <t>WA</t>
        </is>
      </c>
      <c r="K1591" s="5" t="inlineStr">
        <is>
          <t>Condo</t>
        </is>
      </c>
      <c r="L1591" s="5" t="inlineStr">
        <is>
          <t>Meridian Home Loans</t>
        </is>
      </c>
      <c r="M1591" s="5" t="inlineStr">
        <is>
          <t>Summit Loan Servicing</t>
        </is>
      </c>
    </row>
    <row r="1592">
      <c r="A1592" s="7" t="inlineStr">
        <is>
          <t>L101587</t>
        </is>
      </c>
      <c r="B1592" s="8" t="n">
        <v>337718.51</v>
      </c>
      <c r="C1592" s="8" t="n">
        <v>324136.29</v>
      </c>
      <c r="D1592" s="27" t="n">
        <v>6.347</v>
      </c>
      <c r="E1592" s="10" t="n">
        <v>726</v>
      </c>
      <c r="F1592" s="12" t="n">
        <v>83.40000000000001</v>
      </c>
      <c r="G1592" s="12" t="n">
        <v>28.2</v>
      </c>
      <c r="H1592" s="10" t="n">
        <v>39</v>
      </c>
      <c r="I1592" s="10" t="n">
        <v>321</v>
      </c>
      <c r="J1592" s="7" t="inlineStr">
        <is>
          <t>AZ</t>
        </is>
      </c>
      <c r="K1592" s="7" t="inlineStr">
        <is>
          <t>SFR</t>
        </is>
      </c>
      <c r="L1592" s="7" t="inlineStr">
        <is>
          <t>Coastal Mortgage Co</t>
        </is>
      </c>
      <c r="M1592" s="7" t="inlineStr">
        <is>
          <t>Summit Loan Servicing</t>
        </is>
      </c>
    </row>
    <row r="1593">
      <c r="A1593" s="5" t="inlineStr">
        <is>
          <t>L101588</t>
        </is>
      </c>
      <c r="B1593" s="16" t="n">
        <v>172000.35</v>
      </c>
      <c r="C1593" s="16" t="n">
        <v>161898.56</v>
      </c>
      <c r="D1593" s="26" t="n">
        <v>6.45</v>
      </c>
      <c r="E1593" s="6" t="n">
        <v>671</v>
      </c>
      <c r="F1593" s="11" t="n">
        <v>71.8</v>
      </c>
      <c r="G1593" s="11" t="n">
        <v>26.5</v>
      </c>
      <c r="H1593" s="6" t="n">
        <v>17</v>
      </c>
      <c r="I1593" s="6" t="n">
        <v>163</v>
      </c>
      <c r="J1593" s="5" t="inlineStr">
        <is>
          <t>GA</t>
        </is>
      </c>
      <c r="K1593" s="5" t="inlineStr">
        <is>
          <t>SFR</t>
        </is>
      </c>
      <c r="L1593" s="5" t="inlineStr">
        <is>
          <t>Meridian Home Loans</t>
        </is>
      </c>
      <c r="M1593" s="5" t="inlineStr">
        <is>
          <t>Pier Asset Mgmt</t>
        </is>
      </c>
    </row>
    <row r="1594">
      <c r="A1594" s="7" t="inlineStr">
        <is>
          <t>L101589</t>
        </is>
      </c>
      <c r="B1594" s="8" t="n">
        <v>207018.88</v>
      </c>
      <c r="C1594" s="8" t="n">
        <v>202543.66</v>
      </c>
      <c r="D1594" s="27" t="n">
        <v>6.858</v>
      </c>
      <c r="E1594" s="10" t="n">
        <v>685</v>
      </c>
      <c r="F1594" s="12" t="n">
        <v>62.1</v>
      </c>
      <c r="G1594" s="12" t="n">
        <v>51.8</v>
      </c>
      <c r="H1594" s="10" t="n">
        <v>24</v>
      </c>
      <c r="I1594" s="10" t="n">
        <v>336</v>
      </c>
      <c r="J1594" s="7" t="inlineStr">
        <is>
          <t>AZ</t>
        </is>
      </c>
      <c r="K1594" s="7" t="inlineStr">
        <is>
          <t>SFR</t>
        </is>
      </c>
      <c r="L1594" s="7" t="inlineStr">
        <is>
          <t>Apex Funding</t>
        </is>
      </c>
      <c r="M1594" s="7" t="inlineStr">
        <is>
          <t>Northgate Servicing</t>
        </is>
      </c>
    </row>
    <row r="1595">
      <c r="A1595" s="5" t="inlineStr">
        <is>
          <t>L101590</t>
        </is>
      </c>
      <c r="B1595" s="16" t="n">
        <v>149454.19</v>
      </c>
      <c r="C1595" s="16" t="n">
        <v>148516.23</v>
      </c>
      <c r="D1595" s="26" t="n">
        <v>5.804</v>
      </c>
      <c r="E1595" s="6" t="n">
        <v>712</v>
      </c>
      <c r="F1595" s="11" t="n">
        <v>74.8</v>
      </c>
      <c r="G1595" s="11" t="n">
        <v>28.3</v>
      </c>
      <c r="H1595" s="6" t="n">
        <v>6</v>
      </c>
      <c r="I1595" s="6" t="n">
        <v>354</v>
      </c>
      <c r="J1595" s="5" t="inlineStr">
        <is>
          <t>CA</t>
        </is>
      </c>
      <c r="K1595" s="5" t="inlineStr">
        <is>
          <t>SFR</t>
        </is>
      </c>
      <c r="L1595" s="5" t="inlineStr">
        <is>
          <t>Apex Funding</t>
        </is>
      </c>
      <c r="M1595" s="5" t="inlineStr">
        <is>
          <t>Summit Loan Servicing</t>
        </is>
      </c>
    </row>
    <row r="1596">
      <c r="A1596" s="7" t="inlineStr">
        <is>
          <t>L101591</t>
        </is>
      </c>
      <c r="B1596" s="8" t="n">
        <v>148228.55</v>
      </c>
      <c r="C1596" s="8" t="n">
        <v>140495.67</v>
      </c>
      <c r="D1596" s="27" t="n">
        <v>5.764</v>
      </c>
      <c r="E1596" s="10" t="n">
        <v>789</v>
      </c>
      <c r="F1596" s="12" t="n">
        <v>76</v>
      </c>
      <c r="G1596" s="12" t="n">
        <v>45.2</v>
      </c>
      <c r="H1596" s="10" t="n">
        <v>45</v>
      </c>
      <c r="I1596" s="10" t="n">
        <v>315</v>
      </c>
      <c r="J1596" s="7" t="inlineStr">
        <is>
          <t>AZ</t>
        </is>
      </c>
      <c r="K1596" s="7" t="inlineStr">
        <is>
          <t>SFR</t>
        </is>
      </c>
      <c r="L1596" s="7" t="inlineStr">
        <is>
          <t>Highline Capital</t>
        </is>
      </c>
      <c r="M1596" s="7" t="inlineStr">
        <is>
          <t>Northgate Servicing</t>
        </is>
      </c>
    </row>
    <row r="1597">
      <c r="A1597" s="5" t="inlineStr">
        <is>
          <t>L101592</t>
        </is>
      </c>
      <c r="B1597" s="16" t="n">
        <v>228469.23</v>
      </c>
      <c r="C1597" s="16" t="n">
        <v>226276.19</v>
      </c>
      <c r="D1597" s="26" t="n">
        <v>6.827</v>
      </c>
      <c r="E1597" s="6" t="n">
        <v>814</v>
      </c>
      <c r="F1597" s="11" t="n">
        <v>85.2</v>
      </c>
      <c r="G1597" s="11" t="n">
        <v>36.9</v>
      </c>
      <c r="H1597" s="6" t="n">
        <v>11</v>
      </c>
      <c r="I1597" s="6" t="n">
        <v>349</v>
      </c>
      <c r="J1597" s="5" t="inlineStr">
        <is>
          <t>CA</t>
        </is>
      </c>
      <c r="K1597" s="5" t="inlineStr">
        <is>
          <t>SFR</t>
        </is>
      </c>
      <c r="L1597" s="5" t="inlineStr">
        <is>
          <t>Highline Capital</t>
        </is>
      </c>
      <c r="M1597" s="5" t="inlineStr">
        <is>
          <t>Pier Asset Mgmt</t>
        </is>
      </c>
    </row>
    <row r="1598">
      <c r="A1598" s="7" t="inlineStr">
        <is>
          <t>L101593</t>
        </is>
      </c>
      <c r="B1598" s="8" t="n">
        <v>188084.76</v>
      </c>
      <c r="C1598" s="8" t="n">
        <v>184802.79</v>
      </c>
      <c r="D1598" s="27" t="n">
        <v>6.374</v>
      </c>
      <c r="E1598" s="10" t="n">
        <v>740</v>
      </c>
      <c r="F1598" s="12" t="n">
        <v>78.7</v>
      </c>
      <c r="G1598" s="12" t="n">
        <v>32.6</v>
      </c>
      <c r="H1598" s="10" t="n">
        <v>18</v>
      </c>
      <c r="I1598" s="10" t="n">
        <v>342</v>
      </c>
      <c r="J1598" s="7" t="inlineStr">
        <is>
          <t>NY</t>
        </is>
      </c>
      <c r="K1598" s="7" t="inlineStr">
        <is>
          <t>2-4 Unit</t>
        </is>
      </c>
      <c r="L1598" s="7" t="inlineStr">
        <is>
          <t>Apex Funding</t>
        </is>
      </c>
      <c r="M1598" s="7" t="inlineStr">
        <is>
          <t>Summit Loan Servicing</t>
        </is>
      </c>
    </row>
    <row r="1599">
      <c r="A1599" s="5" t="inlineStr">
        <is>
          <t>L101594</t>
        </is>
      </c>
      <c r="B1599" s="16" t="n">
        <v>277143.26</v>
      </c>
      <c r="C1599" s="16" t="n">
        <v>271087.01</v>
      </c>
      <c r="D1599" s="26" t="n">
        <v>6.033</v>
      </c>
      <c r="E1599" s="6" t="n">
        <v>694</v>
      </c>
      <c r="F1599" s="11" t="n">
        <v>79.5</v>
      </c>
      <c r="G1599" s="11" t="n">
        <v>35.6</v>
      </c>
      <c r="H1599" s="6" t="n">
        <v>21</v>
      </c>
      <c r="I1599" s="6" t="n">
        <v>339</v>
      </c>
      <c r="J1599" s="5" t="inlineStr">
        <is>
          <t>NY</t>
        </is>
      </c>
      <c r="K1599" s="5" t="inlineStr">
        <is>
          <t>Condo</t>
        </is>
      </c>
      <c r="L1599" s="5" t="inlineStr">
        <is>
          <t>Coastal Mortgage Co</t>
        </is>
      </c>
      <c r="M1599" s="5" t="inlineStr">
        <is>
          <t>Pier Asset Mgmt</t>
        </is>
      </c>
    </row>
    <row r="1600">
      <c r="A1600" s="7" t="inlineStr">
        <is>
          <t>L101595</t>
        </is>
      </c>
      <c r="B1600" s="8" t="n">
        <v>284471.53</v>
      </c>
      <c r="C1600" s="8" t="n">
        <v>271704.99</v>
      </c>
      <c r="D1600" s="27" t="n">
        <v>6.325</v>
      </c>
      <c r="E1600" s="10" t="n">
        <v>820</v>
      </c>
      <c r="F1600" s="12" t="n">
        <v>77.8</v>
      </c>
      <c r="G1600" s="12" t="n">
        <v>25.6</v>
      </c>
      <c r="H1600" s="10" t="n">
        <v>13</v>
      </c>
      <c r="I1600" s="10" t="n">
        <v>167</v>
      </c>
      <c r="J1600" s="7" t="inlineStr">
        <is>
          <t>NC</t>
        </is>
      </c>
      <c r="K1600" s="7" t="inlineStr">
        <is>
          <t>SFR</t>
        </is>
      </c>
      <c r="L1600" s="7" t="inlineStr">
        <is>
          <t>Meridian Home Loans</t>
        </is>
      </c>
      <c r="M1600" s="7" t="inlineStr">
        <is>
          <t>Pier Asset Mgmt</t>
        </is>
      </c>
    </row>
    <row r="1601">
      <c r="A1601" s="5" t="inlineStr">
        <is>
          <t>L101596</t>
        </is>
      </c>
      <c r="B1601" s="16" t="n">
        <v>271657.5</v>
      </c>
      <c r="C1601" s="16" t="n">
        <v>265433.96</v>
      </c>
      <c r="D1601" s="26" t="n">
        <v>7.835</v>
      </c>
      <c r="E1601" s="6" t="n">
        <v>691</v>
      </c>
      <c r="F1601" s="11" t="n">
        <v>71.7</v>
      </c>
      <c r="G1601" s="11" t="n">
        <v>35.9</v>
      </c>
      <c r="H1601" s="6" t="n">
        <v>30</v>
      </c>
      <c r="I1601" s="6" t="n">
        <v>330</v>
      </c>
      <c r="J1601" s="5" t="inlineStr">
        <is>
          <t>FL</t>
        </is>
      </c>
      <c r="K1601" s="5" t="inlineStr">
        <is>
          <t>Condo</t>
        </is>
      </c>
      <c r="L1601" s="5" t="inlineStr">
        <is>
          <t>Highline Capital</t>
        </is>
      </c>
      <c r="M1601" s="5" t="inlineStr">
        <is>
          <t>Northgate Servicing</t>
        </is>
      </c>
    </row>
    <row r="1602">
      <c r="A1602" s="7" t="inlineStr">
        <is>
          <t>L101597</t>
        </is>
      </c>
      <c r="B1602" s="8" t="n">
        <v>263948.76</v>
      </c>
      <c r="C1602" s="8" t="n">
        <v>250068.44</v>
      </c>
      <c r="D1602" s="27" t="n">
        <v>6.001</v>
      </c>
      <c r="E1602" s="10" t="n">
        <v>684</v>
      </c>
      <c r="F1602" s="12" t="n">
        <v>65.40000000000001</v>
      </c>
      <c r="G1602" s="12" t="n">
        <v>27.3</v>
      </c>
      <c r="H1602" s="10" t="n">
        <v>47</v>
      </c>
      <c r="I1602" s="10" t="n">
        <v>313</v>
      </c>
      <c r="J1602" s="7" t="inlineStr">
        <is>
          <t>FL</t>
        </is>
      </c>
      <c r="K1602" s="7" t="inlineStr">
        <is>
          <t>SFR</t>
        </is>
      </c>
      <c r="L1602" s="7" t="inlineStr">
        <is>
          <t>Apex Funding</t>
        </is>
      </c>
      <c r="M1602" s="7" t="inlineStr">
        <is>
          <t>Summit Loan Servicing</t>
        </is>
      </c>
    </row>
    <row r="1603">
      <c r="A1603" s="5" t="inlineStr">
        <is>
          <t>L101598</t>
        </is>
      </c>
      <c r="B1603" s="16" t="n">
        <v>421771.46</v>
      </c>
      <c r="C1603" s="16" t="n">
        <v>355845.76</v>
      </c>
      <c r="D1603" s="26" t="n">
        <v>5.975</v>
      </c>
      <c r="E1603" s="6" t="n">
        <v>617</v>
      </c>
      <c r="F1603" s="11" t="n">
        <v>77.5</v>
      </c>
      <c r="G1603" s="11" t="n">
        <v>32.8</v>
      </c>
      <c r="H1603" s="6" t="n">
        <v>41</v>
      </c>
      <c r="I1603" s="6" t="n">
        <v>139</v>
      </c>
      <c r="J1603" s="5" t="inlineStr">
        <is>
          <t>OH</t>
        </is>
      </c>
      <c r="K1603" s="5" t="inlineStr">
        <is>
          <t>Multifamily</t>
        </is>
      </c>
      <c r="L1603" s="5" t="inlineStr">
        <is>
          <t>Meridian Home Loans</t>
        </is>
      </c>
      <c r="M1603" s="5" t="inlineStr">
        <is>
          <t>Pier Asset Mgmt</t>
        </is>
      </c>
    </row>
    <row r="1604">
      <c r="A1604" s="7" t="inlineStr">
        <is>
          <t>L101599</t>
        </is>
      </c>
      <c r="B1604" s="8" t="n">
        <v>167099.08</v>
      </c>
      <c r="C1604" s="8" t="n">
        <v>161692.87</v>
      </c>
      <c r="D1604" s="27" t="n">
        <v>4.863</v>
      </c>
      <c r="E1604" s="10" t="n">
        <v>792</v>
      </c>
      <c r="F1604" s="12" t="n">
        <v>70</v>
      </c>
      <c r="G1604" s="12" t="n">
        <v>43.4</v>
      </c>
      <c r="H1604" s="10" t="n">
        <v>25</v>
      </c>
      <c r="I1604" s="10" t="n">
        <v>335</v>
      </c>
      <c r="J1604" s="7" t="inlineStr">
        <is>
          <t>IL</t>
        </is>
      </c>
      <c r="K1604" s="7" t="inlineStr">
        <is>
          <t>SFR</t>
        </is>
      </c>
      <c r="L1604" s="7" t="inlineStr">
        <is>
          <t>Apex Funding</t>
        </is>
      </c>
      <c r="M1604" s="7" t="inlineStr">
        <is>
          <t>Pier Asset Mgmt</t>
        </is>
      </c>
    </row>
    <row r="1605">
      <c r="A1605" s="5" t="inlineStr">
        <is>
          <t>L101600</t>
        </is>
      </c>
      <c r="B1605" s="16" t="n">
        <v>238177.82</v>
      </c>
      <c r="C1605" s="16" t="n">
        <v>236604.88</v>
      </c>
      <c r="D1605" s="26" t="n">
        <v>6.362</v>
      </c>
      <c r="E1605" s="6" t="n">
        <v>768</v>
      </c>
      <c r="F1605" s="11" t="n">
        <v>94.3</v>
      </c>
      <c r="G1605" s="11" t="n">
        <v>38</v>
      </c>
      <c r="H1605" s="6" t="n">
        <v>7</v>
      </c>
      <c r="I1605" s="6" t="n">
        <v>353</v>
      </c>
      <c r="J1605" s="5" t="inlineStr">
        <is>
          <t>AZ</t>
        </is>
      </c>
      <c r="K1605" s="5" t="inlineStr">
        <is>
          <t>SFR</t>
        </is>
      </c>
      <c r="L1605" s="5" t="inlineStr">
        <is>
          <t>Coastal Mortgage Co</t>
        </is>
      </c>
      <c r="M1605" s="5" t="inlineStr">
        <is>
          <t>Northgate Servicing</t>
        </is>
      </c>
    </row>
    <row r="1606">
      <c r="A1606" s="7" t="inlineStr">
        <is>
          <t>L101601</t>
        </is>
      </c>
      <c r="B1606" s="8" t="n">
        <v>360930.77</v>
      </c>
      <c r="C1606" s="8" t="n">
        <v>308326.5</v>
      </c>
      <c r="D1606" s="27" t="n">
        <v>6.991</v>
      </c>
      <c r="E1606" s="10" t="n">
        <v>820</v>
      </c>
      <c r="F1606" s="12" t="n">
        <v>90.09999999999999</v>
      </c>
      <c r="G1606" s="12" t="n">
        <v>24.1</v>
      </c>
      <c r="H1606" s="10" t="n">
        <v>41</v>
      </c>
      <c r="I1606" s="10" t="n">
        <v>139</v>
      </c>
      <c r="J1606" s="7" t="inlineStr">
        <is>
          <t>GA</t>
        </is>
      </c>
      <c r="K1606" s="7" t="inlineStr">
        <is>
          <t>Condo</t>
        </is>
      </c>
      <c r="L1606" s="7" t="inlineStr">
        <is>
          <t>Coastal Mortgage Co</t>
        </is>
      </c>
      <c r="M1606" s="7" t="inlineStr">
        <is>
          <t>Northgate Servicing</t>
        </is>
      </c>
    </row>
    <row r="1607">
      <c r="A1607" s="5" t="inlineStr">
        <is>
          <t>L101602</t>
        </is>
      </c>
      <c r="B1607" s="16" t="n">
        <v>377977.12</v>
      </c>
      <c r="C1607" s="16" t="n">
        <v>373926.58</v>
      </c>
      <c r="D1607" s="26" t="n">
        <v>7.153</v>
      </c>
      <c r="E1607" s="6" t="n">
        <v>639</v>
      </c>
      <c r="F1607" s="11" t="n">
        <v>81.59999999999999</v>
      </c>
      <c r="G1607" s="11" t="n">
        <v>42.8</v>
      </c>
      <c r="H1607" s="6" t="n">
        <v>13</v>
      </c>
      <c r="I1607" s="6" t="n">
        <v>347</v>
      </c>
      <c r="J1607" s="5" t="inlineStr">
        <is>
          <t>NC</t>
        </is>
      </c>
      <c r="K1607" s="5" t="inlineStr">
        <is>
          <t>SFR</t>
        </is>
      </c>
      <c r="L1607" s="5" t="inlineStr">
        <is>
          <t>Coastal Mortgage Co</t>
        </is>
      </c>
      <c r="M1607" s="5" t="inlineStr">
        <is>
          <t>Pier Asset Mgmt</t>
        </is>
      </c>
    </row>
    <row r="1608">
      <c r="A1608" s="7" t="inlineStr">
        <is>
          <t>L101603</t>
        </is>
      </c>
      <c r="B1608" s="8" t="n">
        <v>147617.94</v>
      </c>
      <c r="C1608" s="8" t="n">
        <v>141172.46</v>
      </c>
      <c r="D1608" s="27" t="n">
        <v>6.497</v>
      </c>
      <c r="E1608" s="10" t="n">
        <v>795</v>
      </c>
      <c r="F1608" s="12" t="n">
        <v>78.5</v>
      </c>
      <c r="G1608" s="12" t="n">
        <v>35.9</v>
      </c>
      <c r="H1608" s="10" t="n">
        <v>43</v>
      </c>
      <c r="I1608" s="10" t="n">
        <v>317</v>
      </c>
      <c r="J1608" s="7" t="inlineStr">
        <is>
          <t>NC</t>
        </is>
      </c>
      <c r="K1608" s="7" t="inlineStr">
        <is>
          <t>2-4 Unit</t>
        </is>
      </c>
      <c r="L1608" s="7" t="inlineStr">
        <is>
          <t>Highline Capital</t>
        </is>
      </c>
      <c r="M1608" s="7" t="inlineStr">
        <is>
          <t>Summit Loan Servicing</t>
        </is>
      </c>
    </row>
    <row r="1609">
      <c r="A1609" s="5" t="inlineStr">
        <is>
          <t>L101604</t>
        </is>
      </c>
      <c r="B1609" s="16" t="n">
        <v>217656.98</v>
      </c>
      <c r="C1609" s="16" t="n">
        <v>214255.84</v>
      </c>
      <c r="D1609" s="26" t="n">
        <v>7.26</v>
      </c>
      <c r="E1609" s="6" t="n">
        <v>719</v>
      </c>
      <c r="F1609" s="11" t="n">
        <v>72.90000000000001</v>
      </c>
      <c r="G1609" s="11" t="n">
        <v>31.7</v>
      </c>
      <c r="H1609" s="6" t="n">
        <v>19</v>
      </c>
      <c r="I1609" s="6" t="n">
        <v>341</v>
      </c>
      <c r="J1609" s="5" t="inlineStr">
        <is>
          <t>NC</t>
        </is>
      </c>
      <c r="K1609" s="5" t="inlineStr">
        <is>
          <t>Multifamily</t>
        </is>
      </c>
      <c r="L1609" s="5" t="inlineStr">
        <is>
          <t>Meridian Home Loans</t>
        </is>
      </c>
      <c r="M1609" s="5" t="inlineStr">
        <is>
          <t>Summit Loan Servicing</t>
        </is>
      </c>
    </row>
    <row r="1610">
      <c r="A1610" s="7" t="inlineStr">
        <is>
          <t>L101605</t>
        </is>
      </c>
      <c r="B1610" s="8" t="n">
        <v>390562.15</v>
      </c>
      <c r="C1610" s="8" t="n">
        <v>382065.31</v>
      </c>
      <c r="D1610" s="27" t="n">
        <v>7.058</v>
      </c>
      <c r="E1610" s="10" t="n">
        <v>759</v>
      </c>
      <c r="F1610" s="12" t="n">
        <v>58.9</v>
      </c>
      <c r="G1610" s="12" t="n">
        <v>42</v>
      </c>
      <c r="H1610" s="10" t="n">
        <v>25</v>
      </c>
      <c r="I1610" s="10" t="n">
        <v>335</v>
      </c>
      <c r="J1610" s="7" t="inlineStr">
        <is>
          <t>WA</t>
        </is>
      </c>
      <c r="K1610" s="7" t="inlineStr">
        <is>
          <t>Condo</t>
        </is>
      </c>
      <c r="L1610" s="7" t="inlineStr">
        <is>
          <t>Highline Capital</t>
        </is>
      </c>
      <c r="M1610" s="7" t="inlineStr">
        <is>
          <t>Northgate Servicing</t>
        </is>
      </c>
    </row>
    <row r="1611">
      <c r="A1611" s="5" t="inlineStr">
        <is>
          <t>L101606</t>
        </is>
      </c>
      <c r="B1611" s="16" t="n">
        <v>290055.54</v>
      </c>
      <c r="C1611" s="16" t="n">
        <v>285149.78</v>
      </c>
      <c r="D1611" s="26" t="n">
        <v>7.402</v>
      </c>
      <c r="E1611" s="6" t="n">
        <v>624</v>
      </c>
      <c r="F1611" s="11" t="n">
        <v>71.40000000000001</v>
      </c>
      <c r="G1611" s="11" t="n">
        <v>34.7</v>
      </c>
      <c r="H1611" s="6" t="n">
        <v>21</v>
      </c>
      <c r="I1611" s="6" t="n">
        <v>339</v>
      </c>
      <c r="J1611" s="5" t="inlineStr">
        <is>
          <t>AZ</t>
        </is>
      </c>
      <c r="K1611" s="5" t="inlineStr">
        <is>
          <t>SFR</t>
        </is>
      </c>
      <c r="L1611" s="5" t="inlineStr">
        <is>
          <t>Meridian Home Loans</t>
        </is>
      </c>
      <c r="M1611" s="5" t="inlineStr">
        <is>
          <t>Northgate Servicing</t>
        </is>
      </c>
    </row>
    <row r="1612">
      <c r="A1612" s="7" t="inlineStr">
        <is>
          <t>L101607</t>
        </is>
      </c>
      <c r="B1612" s="8" t="n">
        <v>259975.34</v>
      </c>
      <c r="C1612" s="8" t="n">
        <v>255251.26</v>
      </c>
      <c r="D1612" s="27" t="n">
        <v>7.286</v>
      </c>
      <c r="E1612" s="10" t="n">
        <v>796</v>
      </c>
      <c r="F1612" s="12" t="n">
        <v>75.2</v>
      </c>
      <c r="G1612" s="12" t="n">
        <v>26.7</v>
      </c>
      <c r="H1612" s="10" t="n">
        <v>22</v>
      </c>
      <c r="I1612" s="10" t="n">
        <v>338</v>
      </c>
      <c r="J1612" s="7" t="inlineStr">
        <is>
          <t>NY</t>
        </is>
      </c>
      <c r="K1612" s="7" t="inlineStr">
        <is>
          <t>SFR</t>
        </is>
      </c>
      <c r="L1612" s="7" t="inlineStr">
        <is>
          <t>Meridian Home Loans</t>
        </is>
      </c>
      <c r="M1612" s="7" t="inlineStr">
        <is>
          <t>Northgate Servicing</t>
        </is>
      </c>
    </row>
    <row r="1613">
      <c r="A1613" s="5" t="inlineStr">
        <is>
          <t>L101608</t>
        </is>
      </c>
      <c r="B1613" s="16" t="n">
        <v>224989.8</v>
      </c>
      <c r="C1613" s="16" t="n">
        <v>223706.53</v>
      </c>
      <c r="D1613" s="26" t="n">
        <v>7.813</v>
      </c>
      <c r="E1613" s="6" t="n">
        <v>758</v>
      </c>
      <c r="F1613" s="11" t="n">
        <v>76.8</v>
      </c>
      <c r="G1613" s="11" t="n">
        <v>50.8</v>
      </c>
      <c r="H1613" s="6" t="n">
        <v>8</v>
      </c>
      <c r="I1613" s="6" t="n">
        <v>352</v>
      </c>
      <c r="J1613" s="5" t="inlineStr">
        <is>
          <t>TX</t>
        </is>
      </c>
      <c r="K1613" s="5" t="inlineStr">
        <is>
          <t>SFR</t>
        </is>
      </c>
      <c r="L1613" s="5" t="inlineStr">
        <is>
          <t>Apex Funding</t>
        </is>
      </c>
      <c r="M1613" s="5" t="inlineStr">
        <is>
          <t>Northgate Servicing</t>
        </is>
      </c>
    </row>
    <row r="1614">
      <c r="A1614" s="7" t="inlineStr">
        <is>
          <t>L101609</t>
        </is>
      </c>
      <c r="B1614" s="8" t="n">
        <v>212281.75</v>
      </c>
      <c r="C1614" s="8" t="n">
        <v>206686.15</v>
      </c>
      <c r="D1614" s="27" t="n">
        <v>6.247</v>
      </c>
      <c r="E1614" s="10" t="n">
        <v>713</v>
      </c>
      <c r="F1614" s="12" t="n">
        <v>79.59999999999999</v>
      </c>
      <c r="G1614" s="12" t="n">
        <v>35.9</v>
      </c>
      <c r="H1614" s="10" t="n">
        <v>26</v>
      </c>
      <c r="I1614" s="10" t="n">
        <v>334</v>
      </c>
      <c r="J1614" s="7" t="inlineStr">
        <is>
          <t>OH</t>
        </is>
      </c>
      <c r="K1614" s="7" t="inlineStr">
        <is>
          <t>SFR</t>
        </is>
      </c>
      <c r="L1614" s="7" t="inlineStr">
        <is>
          <t>Meridian Home Loans</t>
        </is>
      </c>
      <c r="M1614" s="7" t="inlineStr">
        <is>
          <t>Pier Asset Mgmt</t>
        </is>
      </c>
    </row>
    <row r="1615">
      <c r="A1615" s="5" t="inlineStr">
        <is>
          <t>L101610</t>
        </is>
      </c>
      <c r="B1615" s="16" t="n">
        <v>268572.63</v>
      </c>
      <c r="C1615" s="16" t="n">
        <v>262435.06</v>
      </c>
      <c r="D1615" s="26" t="n">
        <v>5.206</v>
      </c>
      <c r="E1615" s="6" t="n">
        <v>750</v>
      </c>
      <c r="F1615" s="11" t="n">
        <v>85.09999999999999</v>
      </c>
      <c r="G1615" s="11" t="n">
        <v>35.3</v>
      </c>
      <c r="H1615" s="6" t="n">
        <v>19</v>
      </c>
      <c r="I1615" s="6" t="n">
        <v>341</v>
      </c>
      <c r="J1615" s="5" t="inlineStr">
        <is>
          <t>NY</t>
        </is>
      </c>
      <c r="K1615" s="5" t="inlineStr">
        <is>
          <t>Multifamily</t>
        </is>
      </c>
      <c r="L1615" s="5" t="inlineStr">
        <is>
          <t>Highline Capital</t>
        </is>
      </c>
      <c r="M1615" s="5" t="inlineStr">
        <is>
          <t>Northgate Servicing</t>
        </is>
      </c>
    </row>
    <row r="1616">
      <c r="A1616" s="7" t="inlineStr">
        <is>
          <t>L101611</t>
        </is>
      </c>
      <c r="B1616" s="8" t="n">
        <v>222274.65</v>
      </c>
      <c r="C1616" s="8" t="n">
        <v>214088.65</v>
      </c>
      <c r="D1616" s="27" t="n">
        <v>6.997</v>
      </c>
      <c r="E1616" s="10" t="n">
        <v>673</v>
      </c>
      <c r="F1616" s="12" t="n">
        <v>65.7</v>
      </c>
      <c r="G1616" s="12" t="n">
        <v>32.8</v>
      </c>
      <c r="H1616" s="10" t="n">
        <v>40</v>
      </c>
      <c r="I1616" s="10" t="n">
        <v>320</v>
      </c>
      <c r="J1616" s="7" t="inlineStr">
        <is>
          <t>NY</t>
        </is>
      </c>
      <c r="K1616" s="7" t="inlineStr">
        <is>
          <t>SFR</t>
        </is>
      </c>
      <c r="L1616" s="7" t="inlineStr">
        <is>
          <t>Apex Funding</t>
        </is>
      </c>
      <c r="M1616" s="7" t="inlineStr">
        <is>
          <t>Northgate Servicing</t>
        </is>
      </c>
    </row>
    <row r="1617">
      <c r="A1617" s="5" t="inlineStr">
        <is>
          <t>L101612</t>
        </is>
      </c>
      <c r="B1617" s="16" t="n">
        <v>239210.09</v>
      </c>
      <c r="C1617" s="16" t="n">
        <v>234490.26</v>
      </c>
      <c r="D1617" s="26" t="n">
        <v>7.102</v>
      </c>
      <c r="E1617" s="6" t="n">
        <v>683</v>
      </c>
      <c r="F1617" s="11" t="n">
        <v>65.8</v>
      </c>
      <c r="G1617" s="11" t="n">
        <v>45.4</v>
      </c>
      <c r="H1617" s="6" t="n">
        <v>23</v>
      </c>
      <c r="I1617" s="6" t="n">
        <v>337</v>
      </c>
      <c r="J1617" s="5" t="inlineStr">
        <is>
          <t>TX</t>
        </is>
      </c>
      <c r="K1617" s="5" t="inlineStr">
        <is>
          <t>SFR</t>
        </is>
      </c>
      <c r="L1617" s="5" t="inlineStr">
        <is>
          <t>Coastal Mortgage Co</t>
        </is>
      </c>
      <c r="M1617" s="5" t="inlineStr">
        <is>
          <t>Pier Asset Mgmt</t>
        </is>
      </c>
    </row>
    <row r="1618">
      <c r="A1618" s="7" t="inlineStr">
        <is>
          <t>L101613</t>
        </is>
      </c>
      <c r="B1618" s="8" t="n">
        <v>249573.7</v>
      </c>
      <c r="C1618" s="8" t="n">
        <v>240281.12</v>
      </c>
      <c r="D1618" s="27" t="n">
        <v>7.813</v>
      </c>
      <c r="E1618" s="10" t="n">
        <v>690</v>
      </c>
      <c r="F1618" s="12" t="n">
        <v>91.40000000000001</v>
      </c>
      <c r="G1618" s="12" t="n">
        <v>31.8</v>
      </c>
      <c r="H1618" s="10" t="n">
        <v>46</v>
      </c>
      <c r="I1618" s="10" t="n">
        <v>314</v>
      </c>
      <c r="J1618" s="7" t="inlineStr">
        <is>
          <t>GA</t>
        </is>
      </c>
      <c r="K1618" s="7" t="inlineStr">
        <is>
          <t>SFR</t>
        </is>
      </c>
      <c r="L1618" s="7" t="inlineStr">
        <is>
          <t>Coastal Mortgage Co</t>
        </is>
      </c>
      <c r="M1618" s="7" t="inlineStr">
        <is>
          <t>Summit Loan Servicing</t>
        </is>
      </c>
    </row>
    <row r="1619">
      <c r="A1619" s="5" t="inlineStr">
        <is>
          <t>L101614</t>
        </is>
      </c>
      <c r="B1619" s="16" t="n">
        <v>191506.1</v>
      </c>
      <c r="C1619" s="16" t="n">
        <v>183108.31</v>
      </c>
      <c r="D1619" s="26" t="n">
        <v>7.553</v>
      </c>
      <c r="E1619" s="6" t="n">
        <v>613</v>
      </c>
      <c r="F1619" s="11" t="n">
        <v>83.3</v>
      </c>
      <c r="G1619" s="11" t="n">
        <v>23.6</v>
      </c>
      <c r="H1619" s="6" t="n">
        <v>14</v>
      </c>
      <c r="I1619" s="6" t="n">
        <v>166</v>
      </c>
      <c r="J1619" s="5" t="inlineStr">
        <is>
          <t>GA</t>
        </is>
      </c>
      <c r="K1619" s="5" t="inlineStr">
        <is>
          <t>Multifamily</t>
        </is>
      </c>
      <c r="L1619" s="5" t="inlineStr">
        <is>
          <t>Highline Capital</t>
        </is>
      </c>
      <c r="M1619" s="5" t="inlineStr">
        <is>
          <t>Pier Asset Mgmt</t>
        </is>
      </c>
    </row>
    <row r="1620">
      <c r="A1620" s="7" t="inlineStr">
        <is>
          <t>L101615</t>
        </is>
      </c>
      <c r="B1620" s="8" t="n">
        <v>292507.41</v>
      </c>
      <c r="C1620" s="8" t="n">
        <v>289301.98</v>
      </c>
      <c r="D1620" s="27" t="n">
        <v>8.151</v>
      </c>
      <c r="E1620" s="10" t="n">
        <v>762</v>
      </c>
      <c r="F1620" s="12" t="n">
        <v>69.3</v>
      </c>
      <c r="G1620" s="12" t="n">
        <v>30.6</v>
      </c>
      <c r="H1620" s="10" t="n">
        <v>16</v>
      </c>
      <c r="I1620" s="10" t="n">
        <v>344</v>
      </c>
      <c r="J1620" s="7" t="inlineStr">
        <is>
          <t>OH</t>
        </is>
      </c>
      <c r="K1620" s="7" t="inlineStr">
        <is>
          <t>Multifamily</t>
        </is>
      </c>
      <c r="L1620" s="7" t="inlineStr">
        <is>
          <t>Highline Capital</t>
        </is>
      </c>
      <c r="M1620" s="7" t="inlineStr">
        <is>
          <t>Pier Asset Mgmt</t>
        </is>
      </c>
    </row>
    <row r="1621">
      <c r="A1621" s="5" t="inlineStr">
        <is>
          <t>L101616</t>
        </is>
      </c>
      <c r="B1621" s="16" t="n">
        <v>673326.5</v>
      </c>
      <c r="C1621" s="16" t="n">
        <v>672210.25</v>
      </c>
      <c r="D1621" s="26" t="n">
        <v>6.958</v>
      </c>
      <c r="E1621" s="6" t="n">
        <v>781</v>
      </c>
      <c r="F1621" s="11" t="n">
        <v>72.7</v>
      </c>
      <c r="G1621" s="11" t="n">
        <v>46.6</v>
      </c>
      <c r="H1621" s="6" t="n">
        <v>2</v>
      </c>
      <c r="I1621" s="6" t="n">
        <v>358</v>
      </c>
      <c r="J1621" s="5" t="inlineStr">
        <is>
          <t>AZ</t>
        </is>
      </c>
      <c r="K1621" s="5" t="inlineStr">
        <is>
          <t>SFR</t>
        </is>
      </c>
      <c r="L1621" s="5" t="inlineStr">
        <is>
          <t>Apex Funding</t>
        </is>
      </c>
      <c r="M1621" s="5" t="inlineStr">
        <is>
          <t>Northgate Servicing</t>
        </is>
      </c>
    </row>
    <row r="1622">
      <c r="A1622" s="7" t="inlineStr">
        <is>
          <t>L101617</t>
        </is>
      </c>
      <c r="B1622" s="8" t="n">
        <v>130359.94</v>
      </c>
      <c r="C1622" s="8" t="n">
        <v>125917.46</v>
      </c>
      <c r="D1622" s="27" t="n">
        <v>6.606</v>
      </c>
      <c r="E1622" s="10" t="n">
        <v>676</v>
      </c>
      <c r="F1622" s="12" t="n">
        <v>72.8</v>
      </c>
      <c r="G1622" s="12" t="n">
        <v>42.7</v>
      </c>
      <c r="H1622" s="10" t="n">
        <v>35</v>
      </c>
      <c r="I1622" s="10" t="n">
        <v>325</v>
      </c>
      <c r="J1622" s="7" t="inlineStr">
        <is>
          <t>AZ</t>
        </is>
      </c>
      <c r="K1622" s="7" t="inlineStr">
        <is>
          <t>SFR</t>
        </is>
      </c>
      <c r="L1622" s="7" t="inlineStr">
        <is>
          <t>Meridian Home Loans</t>
        </is>
      </c>
      <c r="M1622" s="7" t="inlineStr">
        <is>
          <t>Northgate Servicing</t>
        </is>
      </c>
    </row>
    <row r="1623">
      <c r="A1623" s="5" t="inlineStr">
        <is>
          <t>L101618</t>
        </is>
      </c>
      <c r="B1623" s="16" t="n">
        <v>271958.4</v>
      </c>
      <c r="C1623" s="16" t="n">
        <v>267914.65</v>
      </c>
      <c r="D1623" s="26" t="n">
        <v>5.154</v>
      </c>
      <c r="E1623" s="6" t="n">
        <v>734</v>
      </c>
      <c r="F1623" s="11" t="n">
        <v>74.40000000000001</v>
      </c>
      <c r="G1623" s="11" t="n">
        <v>34</v>
      </c>
      <c r="H1623" s="6" t="n">
        <v>4</v>
      </c>
      <c r="I1623" s="6" t="n">
        <v>176</v>
      </c>
      <c r="J1623" s="5" t="inlineStr">
        <is>
          <t>GA</t>
        </is>
      </c>
      <c r="K1623" s="5" t="inlineStr">
        <is>
          <t>2-4 Unit</t>
        </is>
      </c>
      <c r="L1623" s="5" t="inlineStr">
        <is>
          <t>Apex Funding</t>
        </is>
      </c>
      <c r="M1623" s="5" t="inlineStr">
        <is>
          <t>Northgate Servicing</t>
        </is>
      </c>
    </row>
    <row r="1624">
      <c r="A1624" s="7" t="inlineStr">
        <is>
          <t>L101619</t>
        </is>
      </c>
      <c r="B1624" s="8" t="n">
        <v>186080.28</v>
      </c>
      <c r="C1624" s="8" t="n">
        <v>183720.91</v>
      </c>
      <c r="D1624" s="27" t="n">
        <v>6.677</v>
      </c>
      <c r="E1624" s="10" t="n">
        <v>700</v>
      </c>
      <c r="F1624" s="12" t="n">
        <v>79.7</v>
      </c>
      <c r="G1624" s="12" t="n">
        <v>47</v>
      </c>
      <c r="H1624" s="10" t="n">
        <v>14</v>
      </c>
      <c r="I1624" s="10" t="n">
        <v>346</v>
      </c>
      <c r="J1624" s="7" t="inlineStr">
        <is>
          <t>OH</t>
        </is>
      </c>
      <c r="K1624" s="7" t="inlineStr">
        <is>
          <t>SFR</t>
        </is>
      </c>
      <c r="L1624" s="7" t="inlineStr">
        <is>
          <t>Meridian Home Loans</t>
        </is>
      </c>
      <c r="M1624" s="7" t="inlineStr">
        <is>
          <t>Summit Loan Servicing</t>
        </is>
      </c>
    </row>
    <row r="1625">
      <c r="A1625" s="5" t="inlineStr">
        <is>
          <t>L101620</t>
        </is>
      </c>
      <c r="B1625" s="16" t="n">
        <v>297179.29</v>
      </c>
      <c r="C1625" s="16" t="n">
        <v>282786.86</v>
      </c>
      <c r="D1625" s="26" t="n">
        <v>5.903</v>
      </c>
      <c r="E1625" s="6" t="n">
        <v>733</v>
      </c>
      <c r="F1625" s="11" t="n">
        <v>97</v>
      </c>
      <c r="G1625" s="11" t="n">
        <v>42</v>
      </c>
      <c r="H1625" s="6" t="n">
        <v>43</v>
      </c>
      <c r="I1625" s="6" t="n">
        <v>317</v>
      </c>
      <c r="J1625" s="5" t="inlineStr">
        <is>
          <t>WA</t>
        </is>
      </c>
      <c r="K1625" s="5" t="inlineStr">
        <is>
          <t>Multifamily</t>
        </is>
      </c>
      <c r="L1625" s="5" t="inlineStr">
        <is>
          <t>Coastal Mortgage Co</t>
        </is>
      </c>
      <c r="M1625" s="5" t="inlineStr">
        <is>
          <t>Northgate Servicing</t>
        </is>
      </c>
    </row>
    <row r="1626">
      <c r="A1626" s="7" t="inlineStr">
        <is>
          <t>L101621</t>
        </is>
      </c>
      <c r="B1626" s="8" t="n">
        <v>246790.51</v>
      </c>
      <c r="C1626" s="8" t="n">
        <v>239919.04</v>
      </c>
      <c r="D1626" s="27" t="n">
        <v>6.59</v>
      </c>
      <c r="E1626" s="10" t="n">
        <v>680</v>
      </c>
      <c r="F1626" s="12" t="n">
        <v>76.3</v>
      </c>
      <c r="G1626" s="12" t="n">
        <v>33.9</v>
      </c>
      <c r="H1626" s="10" t="n">
        <v>29</v>
      </c>
      <c r="I1626" s="10" t="n">
        <v>331</v>
      </c>
      <c r="J1626" s="7" t="inlineStr">
        <is>
          <t>OH</t>
        </is>
      </c>
      <c r="K1626" s="7" t="inlineStr">
        <is>
          <t>2-4 Unit</t>
        </is>
      </c>
      <c r="L1626" s="7" t="inlineStr">
        <is>
          <t>Apex Funding</t>
        </is>
      </c>
      <c r="M1626" s="7" t="inlineStr">
        <is>
          <t>Pier Asset Mgmt</t>
        </is>
      </c>
    </row>
    <row r="1627">
      <c r="A1627" s="5" t="inlineStr">
        <is>
          <t>L101622</t>
        </is>
      </c>
      <c r="B1627" s="16" t="n">
        <v>316997.5</v>
      </c>
      <c r="C1627" s="16" t="n">
        <v>286606.76</v>
      </c>
      <c r="D1627" s="26" t="n">
        <v>6.449</v>
      </c>
      <c r="E1627" s="6" t="n">
        <v>666</v>
      </c>
      <c r="F1627" s="11" t="n">
        <v>82</v>
      </c>
      <c r="G1627" s="11" t="n">
        <v>34.7</v>
      </c>
      <c r="H1627" s="6" t="n">
        <v>27</v>
      </c>
      <c r="I1627" s="6" t="n">
        <v>153</v>
      </c>
      <c r="J1627" s="5" t="inlineStr">
        <is>
          <t>NY</t>
        </is>
      </c>
      <c r="K1627" s="5" t="inlineStr">
        <is>
          <t>Condo</t>
        </is>
      </c>
      <c r="L1627" s="5" t="inlineStr">
        <is>
          <t>Coastal Mortgage Co</t>
        </is>
      </c>
      <c r="M1627" s="5" t="inlineStr">
        <is>
          <t>Northgate Servicing</t>
        </is>
      </c>
    </row>
    <row r="1628">
      <c r="A1628" s="7" t="inlineStr">
        <is>
          <t>L101623</t>
        </is>
      </c>
      <c r="B1628" s="8" t="n">
        <v>366380.36</v>
      </c>
      <c r="C1628" s="8" t="n">
        <v>316754.3</v>
      </c>
      <c r="D1628" s="27" t="n">
        <v>6.825</v>
      </c>
      <c r="E1628" s="10" t="n">
        <v>773</v>
      </c>
      <c r="F1628" s="12" t="n">
        <v>53.8</v>
      </c>
      <c r="G1628" s="12" t="n">
        <v>38.6</v>
      </c>
      <c r="H1628" s="10" t="n">
        <v>38</v>
      </c>
      <c r="I1628" s="10" t="n">
        <v>142</v>
      </c>
      <c r="J1628" s="7" t="inlineStr">
        <is>
          <t>FL</t>
        </is>
      </c>
      <c r="K1628" s="7" t="inlineStr">
        <is>
          <t>SFR</t>
        </is>
      </c>
      <c r="L1628" s="7" t="inlineStr">
        <is>
          <t>Highline Capital</t>
        </is>
      </c>
      <c r="M1628" s="7" t="inlineStr">
        <is>
          <t>Summit Loan Servicing</t>
        </is>
      </c>
    </row>
    <row r="1629">
      <c r="A1629" s="5" t="inlineStr">
        <is>
          <t>L101624</t>
        </is>
      </c>
      <c r="B1629" s="16" t="n">
        <v>259716.88</v>
      </c>
      <c r="C1629" s="16" t="n">
        <v>249799.66</v>
      </c>
      <c r="D1629" s="26" t="n">
        <v>6.312</v>
      </c>
      <c r="E1629" s="6" t="n">
        <v>711</v>
      </c>
      <c r="F1629" s="11" t="n">
        <v>68.2</v>
      </c>
      <c r="G1629" s="11" t="n">
        <v>29.3</v>
      </c>
      <c r="H1629" s="6" t="n">
        <v>37</v>
      </c>
      <c r="I1629" s="6" t="n">
        <v>323</v>
      </c>
      <c r="J1629" s="5" t="inlineStr">
        <is>
          <t>CA</t>
        </is>
      </c>
      <c r="K1629" s="5" t="inlineStr">
        <is>
          <t>Condo</t>
        </is>
      </c>
      <c r="L1629" s="5" t="inlineStr">
        <is>
          <t>Highline Capital</t>
        </is>
      </c>
      <c r="M1629" s="5" t="inlineStr">
        <is>
          <t>Northgate Servicing</t>
        </is>
      </c>
    </row>
    <row r="1630">
      <c r="A1630" s="7" t="inlineStr">
        <is>
          <t>L101625</t>
        </is>
      </c>
      <c r="B1630" s="8" t="n">
        <v>360850.24</v>
      </c>
      <c r="C1630" s="8" t="n">
        <v>347418.33</v>
      </c>
      <c r="D1630" s="27" t="n">
        <v>7.242</v>
      </c>
      <c r="E1630" s="10" t="n">
        <v>820</v>
      </c>
      <c r="F1630" s="12" t="n">
        <v>88.7</v>
      </c>
      <c r="G1630" s="12" t="n">
        <v>36</v>
      </c>
      <c r="H1630" s="10" t="n">
        <v>42</v>
      </c>
      <c r="I1630" s="10" t="n">
        <v>318</v>
      </c>
      <c r="J1630" s="7" t="inlineStr">
        <is>
          <t>WA</t>
        </is>
      </c>
      <c r="K1630" s="7" t="inlineStr">
        <is>
          <t>Multifamily</t>
        </is>
      </c>
      <c r="L1630" s="7" t="inlineStr">
        <is>
          <t>Meridian Home Loans</t>
        </is>
      </c>
      <c r="M1630" s="7" t="inlineStr">
        <is>
          <t>Summit Loan Servicing</t>
        </is>
      </c>
    </row>
    <row r="1631">
      <c r="A1631" s="5" t="inlineStr">
        <is>
          <t>L101626</t>
        </is>
      </c>
      <c r="B1631" s="16" t="n">
        <v>106883.61</v>
      </c>
      <c r="C1631" s="16" t="n">
        <v>101648.44</v>
      </c>
      <c r="D1631" s="26" t="n">
        <v>3.949</v>
      </c>
      <c r="E1631" s="6" t="n">
        <v>718</v>
      </c>
      <c r="F1631" s="11" t="n">
        <v>78.8</v>
      </c>
      <c r="G1631" s="11" t="n">
        <v>38.5</v>
      </c>
      <c r="H1631" s="6" t="n">
        <v>32</v>
      </c>
      <c r="I1631" s="6" t="n">
        <v>328</v>
      </c>
      <c r="J1631" s="5" t="inlineStr">
        <is>
          <t>AZ</t>
        </is>
      </c>
      <c r="K1631" s="5" t="inlineStr">
        <is>
          <t>SFR</t>
        </is>
      </c>
      <c r="L1631" s="5" t="inlineStr">
        <is>
          <t>Highline Capital</t>
        </is>
      </c>
      <c r="M1631" s="5" t="inlineStr">
        <is>
          <t>Pier Asset Mgmt</t>
        </is>
      </c>
    </row>
    <row r="1632">
      <c r="A1632" s="7" t="inlineStr">
        <is>
          <t>L101627</t>
        </is>
      </c>
      <c r="B1632" s="8" t="n">
        <v>423648.04</v>
      </c>
      <c r="C1632" s="8" t="n">
        <v>414842.29</v>
      </c>
      <c r="D1632" s="27" t="n">
        <v>6.571</v>
      </c>
      <c r="E1632" s="10" t="n">
        <v>664</v>
      </c>
      <c r="F1632" s="12" t="n">
        <v>35</v>
      </c>
      <c r="G1632" s="12" t="n">
        <v>22.5</v>
      </c>
      <c r="H1632" s="10" t="n">
        <v>22</v>
      </c>
      <c r="I1632" s="10" t="n">
        <v>338</v>
      </c>
      <c r="J1632" s="7" t="inlineStr">
        <is>
          <t>WA</t>
        </is>
      </c>
      <c r="K1632" s="7" t="inlineStr">
        <is>
          <t>2-4 Unit</t>
        </is>
      </c>
      <c r="L1632" s="7" t="inlineStr">
        <is>
          <t>Highline Capital</t>
        </is>
      </c>
      <c r="M1632" s="7" t="inlineStr">
        <is>
          <t>Northgate Servicing</t>
        </is>
      </c>
    </row>
    <row r="1633">
      <c r="A1633" s="5" t="inlineStr">
        <is>
          <t>L101628</t>
        </is>
      </c>
      <c r="B1633" s="16" t="n">
        <v>276861.25</v>
      </c>
      <c r="C1633" s="16" t="n">
        <v>275390.48</v>
      </c>
      <c r="D1633" s="26" t="n">
        <v>7.482</v>
      </c>
      <c r="E1633" s="6" t="n">
        <v>782</v>
      </c>
      <c r="F1633" s="11" t="n">
        <v>82.09999999999999</v>
      </c>
      <c r="G1633" s="11" t="n">
        <v>34.5</v>
      </c>
      <c r="H1633" s="6" t="n">
        <v>7</v>
      </c>
      <c r="I1633" s="6" t="n">
        <v>353</v>
      </c>
      <c r="J1633" s="5" t="inlineStr">
        <is>
          <t>AZ</t>
        </is>
      </c>
      <c r="K1633" s="5" t="inlineStr">
        <is>
          <t>SFR</t>
        </is>
      </c>
      <c r="L1633" s="5" t="inlineStr">
        <is>
          <t>Meridian Home Loans</t>
        </is>
      </c>
      <c r="M1633" s="5" t="inlineStr">
        <is>
          <t>Summit Loan Servicing</t>
        </is>
      </c>
    </row>
    <row r="1634">
      <c r="A1634" s="7" t="inlineStr">
        <is>
          <t>L101629</t>
        </is>
      </c>
      <c r="B1634" s="8" t="n">
        <v>354068.32</v>
      </c>
      <c r="C1634" s="8" t="n">
        <v>349613.93</v>
      </c>
      <c r="D1634" s="27" t="n">
        <v>8.083</v>
      </c>
      <c r="E1634" s="10" t="n">
        <v>750</v>
      </c>
      <c r="F1634" s="12" t="n">
        <v>97</v>
      </c>
      <c r="G1634" s="12" t="n">
        <v>33.6</v>
      </c>
      <c r="H1634" s="10" t="n">
        <v>18</v>
      </c>
      <c r="I1634" s="10" t="n">
        <v>342</v>
      </c>
      <c r="J1634" s="7" t="inlineStr">
        <is>
          <t>IL</t>
        </is>
      </c>
      <c r="K1634" s="7" t="inlineStr">
        <is>
          <t>Multifamily</t>
        </is>
      </c>
      <c r="L1634" s="7" t="inlineStr">
        <is>
          <t>Coastal Mortgage Co</t>
        </is>
      </c>
      <c r="M1634" s="7" t="inlineStr">
        <is>
          <t>Northgate Servicing</t>
        </is>
      </c>
    </row>
    <row r="1635">
      <c r="A1635" s="5" t="inlineStr">
        <is>
          <t>L101630</t>
        </is>
      </c>
      <c r="B1635" s="16" t="n">
        <v>158426.1</v>
      </c>
      <c r="C1635" s="16" t="n">
        <v>153610.56</v>
      </c>
      <c r="D1635" s="26" t="n">
        <v>7.059</v>
      </c>
      <c r="E1635" s="6" t="n">
        <v>755</v>
      </c>
      <c r="F1635" s="11" t="n">
        <v>50</v>
      </c>
      <c r="G1635" s="11" t="n">
        <v>44.2</v>
      </c>
      <c r="H1635" s="6" t="n">
        <v>34</v>
      </c>
      <c r="I1635" s="6" t="n">
        <v>326</v>
      </c>
      <c r="J1635" s="5" t="inlineStr">
        <is>
          <t>TX</t>
        </is>
      </c>
      <c r="K1635" s="5" t="inlineStr">
        <is>
          <t>Condo</t>
        </is>
      </c>
      <c r="L1635" s="5" t="inlineStr">
        <is>
          <t>Highline Capital</t>
        </is>
      </c>
      <c r="M1635" s="5" t="inlineStr">
        <is>
          <t>Northgate Servicing</t>
        </is>
      </c>
    </row>
    <row r="1636">
      <c r="A1636" s="7" t="inlineStr">
        <is>
          <t>L101631</t>
        </is>
      </c>
      <c r="B1636" s="8" t="n">
        <v>181539.86</v>
      </c>
      <c r="C1636" s="8" t="n">
        <v>179997.89</v>
      </c>
      <c r="D1636" s="27" t="n">
        <v>7.916</v>
      </c>
      <c r="E1636" s="10" t="n">
        <v>780</v>
      </c>
      <c r="F1636" s="12" t="n">
        <v>92.2</v>
      </c>
      <c r="G1636" s="12" t="n">
        <v>21.2</v>
      </c>
      <c r="H1636" s="10" t="n">
        <v>12</v>
      </c>
      <c r="I1636" s="10" t="n">
        <v>348</v>
      </c>
      <c r="J1636" s="7" t="inlineStr">
        <is>
          <t>CA</t>
        </is>
      </c>
      <c r="K1636" s="7" t="inlineStr">
        <is>
          <t>SFR</t>
        </is>
      </c>
      <c r="L1636" s="7" t="inlineStr">
        <is>
          <t>Meridian Home Loans</t>
        </is>
      </c>
      <c r="M1636" s="7" t="inlineStr">
        <is>
          <t>Northgate Servicing</t>
        </is>
      </c>
    </row>
    <row r="1637">
      <c r="A1637" s="5" t="inlineStr">
        <is>
          <t>L101632</t>
        </is>
      </c>
      <c r="B1637" s="16" t="n">
        <v>255525.73</v>
      </c>
      <c r="C1637" s="16" t="n">
        <v>247553.68</v>
      </c>
      <c r="D1637" s="26" t="n">
        <v>6.552</v>
      </c>
      <c r="E1637" s="6" t="n">
        <v>679</v>
      </c>
      <c r="F1637" s="11" t="n">
        <v>40.7</v>
      </c>
      <c r="G1637" s="11" t="n">
        <v>32.9</v>
      </c>
      <c r="H1637" s="6" t="n">
        <v>32</v>
      </c>
      <c r="I1637" s="6" t="n">
        <v>328</v>
      </c>
      <c r="J1637" s="5" t="inlineStr">
        <is>
          <t>AZ</t>
        </is>
      </c>
      <c r="K1637" s="5" t="inlineStr">
        <is>
          <t>SFR</t>
        </is>
      </c>
      <c r="L1637" s="5" t="inlineStr">
        <is>
          <t>Meridian Home Loans</t>
        </is>
      </c>
      <c r="M1637" s="5" t="inlineStr">
        <is>
          <t>Northgate Servicing</t>
        </is>
      </c>
    </row>
    <row r="1638">
      <c r="A1638" s="7" t="inlineStr">
        <is>
          <t>L101633</t>
        </is>
      </c>
      <c r="B1638" s="8" t="n">
        <v>241358.04</v>
      </c>
      <c r="C1638" s="8" t="n">
        <v>239776.54</v>
      </c>
      <c r="D1638" s="27" t="n">
        <v>6.403</v>
      </c>
      <c r="E1638" s="10" t="n">
        <v>708</v>
      </c>
      <c r="F1638" s="12" t="n">
        <v>85.3</v>
      </c>
      <c r="G1638" s="12" t="n">
        <v>32.1</v>
      </c>
      <c r="H1638" s="10" t="n">
        <v>7</v>
      </c>
      <c r="I1638" s="10" t="n">
        <v>353</v>
      </c>
      <c r="J1638" s="7" t="inlineStr">
        <is>
          <t>NY</t>
        </is>
      </c>
      <c r="K1638" s="7" t="inlineStr">
        <is>
          <t>SFR</t>
        </is>
      </c>
      <c r="L1638" s="7" t="inlineStr">
        <is>
          <t>Apex Funding</t>
        </is>
      </c>
      <c r="M1638" s="7" t="inlineStr">
        <is>
          <t>Pier Asset Mgmt</t>
        </is>
      </c>
    </row>
    <row r="1639">
      <c r="A1639" s="5" t="inlineStr">
        <is>
          <t>L101634</t>
        </is>
      </c>
      <c r="B1639" s="16" t="n">
        <v>268088.92</v>
      </c>
      <c r="C1639" s="16" t="n">
        <v>267409.5</v>
      </c>
      <c r="D1639" s="26" t="n">
        <v>6.876</v>
      </c>
      <c r="E1639" s="6" t="n">
        <v>706</v>
      </c>
      <c r="F1639" s="11" t="n">
        <v>73.90000000000001</v>
      </c>
      <c r="G1639" s="11" t="n">
        <v>43.7</v>
      </c>
      <c r="H1639" s="6" t="n">
        <v>3</v>
      </c>
      <c r="I1639" s="6" t="n">
        <v>357</v>
      </c>
      <c r="J1639" s="5" t="inlineStr">
        <is>
          <t>NY</t>
        </is>
      </c>
      <c r="K1639" s="5" t="inlineStr">
        <is>
          <t>SFR</t>
        </is>
      </c>
      <c r="L1639" s="5" t="inlineStr">
        <is>
          <t>Highline Capital</t>
        </is>
      </c>
      <c r="M1639" s="5" t="inlineStr">
        <is>
          <t>Pier Asset Mgmt</t>
        </is>
      </c>
    </row>
    <row r="1640">
      <c r="A1640" s="7" t="inlineStr">
        <is>
          <t>L101635</t>
        </is>
      </c>
      <c r="B1640" s="8" t="n">
        <v>354896.08</v>
      </c>
      <c r="C1640" s="8" t="n">
        <v>348729.86</v>
      </c>
      <c r="D1640" s="27" t="n">
        <v>6.397</v>
      </c>
      <c r="E1640" s="10" t="n">
        <v>644</v>
      </c>
      <c r="F1640" s="12" t="n">
        <v>45.8</v>
      </c>
      <c r="G1640" s="12" t="n">
        <v>35.7</v>
      </c>
      <c r="H1640" s="10" t="n">
        <v>18</v>
      </c>
      <c r="I1640" s="10" t="n">
        <v>342</v>
      </c>
      <c r="J1640" s="7" t="inlineStr">
        <is>
          <t>OH</t>
        </is>
      </c>
      <c r="K1640" s="7" t="inlineStr">
        <is>
          <t>2-4 Unit</t>
        </is>
      </c>
      <c r="L1640" s="7" t="inlineStr">
        <is>
          <t>Coastal Mortgage Co</t>
        </is>
      </c>
      <c r="M1640" s="7" t="inlineStr">
        <is>
          <t>Summit Loan Servicing</t>
        </is>
      </c>
    </row>
    <row r="1641">
      <c r="A1641" s="5" t="inlineStr">
        <is>
          <t>L101636</t>
        </is>
      </c>
      <c r="B1641" s="16" t="n">
        <v>130897.9</v>
      </c>
      <c r="C1641" s="16" t="n">
        <v>129342.55</v>
      </c>
      <c r="D1641" s="26" t="n">
        <v>5.696</v>
      </c>
      <c r="E1641" s="6" t="n">
        <v>701</v>
      </c>
      <c r="F1641" s="11" t="n">
        <v>79.40000000000001</v>
      </c>
      <c r="G1641" s="11" t="n">
        <v>50.4</v>
      </c>
      <c r="H1641" s="6" t="n">
        <v>11</v>
      </c>
      <c r="I1641" s="6" t="n">
        <v>349</v>
      </c>
      <c r="J1641" s="5" t="inlineStr">
        <is>
          <t>IL</t>
        </is>
      </c>
      <c r="K1641" s="5" t="inlineStr">
        <is>
          <t>SFR</t>
        </is>
      </c>
      <c r="L1641" s="5" t="inlineStr">
        <is>
          <t>Highline Capital</t>
        </is>
      </c>
      <c r="M1641" s="5" t="inlineStr">
        <is>
          <t>Summit Loan Servicing</t>
        </is>
      </c>
    </row>
    <row r="1642">
      <c r="A1642" s="7" t="inlineStr">
        <is>
          <t>L101637</t>
        </is>
      </c>
      <c r="B1642" s="8" t="n">
        <v>341409.08</v>
      </c>
      <c r="C1642" s="8" t="n">
        <v>287902.86</v>
      </c>
      <c r="D1642" s="27" t="n">
        <v>5.936</v>
      </c>
      <c r="E1642" s="10" t="n">
        <v>789</v>
      </c>
      <c r="F1642" s="12" t="n">
        <v>87.8</v>
      </c>
      <c r="G1642" s="12" t="n">
        <v>41.3</v>
      </c>
      <c r="H1642" s="10" t="n">
        <v>41</v>
      </c>
      <c r="I1642" s="10" t="n">
        <v>139</v>
      </c>
      <c r="J1642" s="7" t="inlineStr">
        <is>
          <t>WA</t>
        </is>
      </c>
      <c r="K1642" s="7" t="inlineStr">
        <is>
          <t>Multifamily</t>
        </is>
      </c>
      <c r="L1642" s="7" t="inlineStr">
        <is>
          <t>Apex Funding</t>
        </is>
      </c>
      <c r="M1642" s="7" t="inlineStr">
        <is>
          <t>Pier Asset Mgmt</t>
        </is>
      </c>
    </row>
    <row r="1643">
      <c r="A1643" s="5" t="inlineStr">
        <is>
          <t>L101638</t>
        </is>
      </c>
      <c r="B1643" s="16" t="n">
        <v>243506.44</v>
      </c>
      <c r="C1643" s="16" t="n">
        <v>227026.29</v>
      </c>
      <c r="D1643" s="26" t="n">
        <v>5.399</v>
      </c>
      <c r="E1643" s="6" t="n">
        <v>728</v>
      </c>
      <c r="F1643" s="11" t="n">
        <v>78.40000000000001</v>
      </c>
      <c r="G1643" s="11" t="n">
        <v>32.7</v>
      </c>
      <c r="H1643" s="6" t="n">
        <v>18</v>
      </c>
      <c r="I1643" s="6" t="n">
        <v>162</v>
      </c>
      <c r="J1643" s="5" t="inlineStr">
        <is>
          <t>GA</t>
        </is>
      </c>
      <c r="K1643" s="5" t="inlineStr">
        <is>
          <t>SFR</t>
        </is>
      </c>
      <c r="L1643" s="5" t="inlineStr">
        <is>
          <t>Meridian Home Loans</t>
        </is>
      </c>
      <c r="M1643" s="5" t="inlineStr">
        <is>
          <t>Northgate Servicing</t>
        </is>
      </c>
    </row>
    <row r="1644">
      <c r="A1644" s="7" t="inlineStr">
        <is>
          <t>L101639</t>
        </is>
      </c>
      <c r="B1644" s="8" t="n">
        <v>226087.27</v>
      </c>
      <c r="C1644" s="8" t="n">
        <v>222075.17</v>
      </c>
      <c r="D1644" s="27" t="n">
        <v>6.876</v>
      </c>
      <c r="E1644" s="10" t="n">
        <v>641</v>
      </c>
      <c r="F1644" s="12" t="n">
        <v>81</v>
      </c>
      <c r="G1644" s="12" t="n">
        <v>37.9</v>
      </c>
      <c r="H1644" s="10" t="n">
        <v>20</v>
      </c>
      <c r="I1644" s="10" t="n">
        <v>340</v>
      </c>
      <c r="J1644" s="7" t="inlineStr">
        <is>
          <t>OH</t>
        </is>
      </c>
      <c r="K1644" s="7" t="inlineStr">
        <is>
          <t>Condo</t>
        </is>
      </c>
      <c r="L1644" s="7" t="inlineStr">
        <is>
          <t>Coastal Mortgage Co</t>
        </is>
      </c>
      <c r="M1644" s="7" t="inlineStr">
        <is>
          <t>Summit Loan Servicing</t>
        </is>
      </c>
    </row>
    <row r="1645">
      <c r="A1645" s="5" t="inlineStr">
        <is>
          <t>L101640</t>
        </is>
      </c>
      <c r="B1645" s="16" t="n">
        <v>145090.02</v>
      </c>
      <c r="C1645" s="16" t="n">
        <v>142428.32</v>
      </c>
      <c r="D1645" s="26" t="n">
        <v>6.41</v>
      </c>
      <c r="E1645" s="6" t="n">
        <v>629</v>
      </c>
      <c r="F1645" s="11" t="n">
        <v>69.09999999999999</v>
      </c>
      <c r="G1645" s="11" t="n">
        <v>33.2</v>
      </c>
      <c r="H1645" s="6" t="n">
        <v>19</v>
      </c>
      <c r="I1645" s="6" t="n">
        <v>341</v>
      </c>
      <c r="J1645" s="5" t="inlineStr">
        <is>
          <t>TX</t>
        </is>
      </c>
      <c r="K1645" s="5" t="inlineStr">
        <is>
          <t>Multifamily</t>
        </is>
      </c>
      <c r="L1645" s="5" t="inlineStr">
        <is>
          <t>Apex Funding</t>
        </is>
      </c>
      <c r="M1645" s="5" t="inlineStr">
        <is>
          <t>Northgate Servicing</t>
        </is>
      </c>
    </row>
    <row r="1646">
      <c r="A1646" s="7" t="inlineStr">
        <is>
          <t>L101641</t>
        </is>
      </c>
      <c r="B1646" s="8" t="n">
        <v>289545.3</v>
      </c>
      <c r="C1646" s="8" t="n">
        <v>285129.72</v>
      </c>
      <c r="D1646" s="27" t="n">
        <v>6.076</v>
      </c>
      <c r="E1646" s="10" t="n">
        <v>807</v>
      </c>
      <c r="F1646" s="12" t="n">
        <v>51.7</v>
      </c>
      <c r="G1646" s="12" t="n">
        <v>42.9</v>
      </c>
      <c r="H1646" s="10" t="n">
        <v>15</v>
      </c>
      <c r="I1646" s="10" t="n">
        <v>345</v>
      </c>
      <c r="J1646" s="7" t="inlineStr">
        <is>
          <t>NY</t>
        </is>
      </c>
      <c r="K1646" s="7" t="inlineStr">
        <is>
          <t>Condo</t>
        </is>
      </c>
      <c r="L1646" s="7" t="inlineStr">
        <is>
          <t>Coastal Mortgage Co</t>
        </is>
      </c>
      <c r="M1646" s="7" t="inlineStr">
        <is>
          <t>Summit Loan Servicing</t>
        </is>
      </c>
    </row>
    <row r="1647">
      <c r="A1647" s="5" t="inlineStr">
        <is>
          <t>L101642</t>
        </is>
      </c>
      <c r="B1647" s="16" t="n">
        <v>104303.71</v>
      </c>
      <c r="C1647" s="16" t="n">
        <v>99110.03999999999</v>
      </c>
      <c r="D1647" s="26" t="n">
        <v>5.89</v>
      </c>
      <c r="E1647" s="6" t="n">
        <v>710</v>
      </c>
      <c r="F1647" s="11" t="n">
        <v>82.3</v>
      </c>
      <c r="G1647" s="11" t="n">
        <v>25.3</v>
      </c>
      <c r="H1647" s="6" t="n">
        <v>44</v>
      </c>
      <c r="I1647" s="6" t="n">
        <v>316</v>
      </c>
      <c r="J1647" s="5" t="inlineStr">
        <is>
          <t>TX</t>
        </is>
      </c>
      <c r="K1647" s="5" t="inlineStr">
        <is>
          <t>2-4 Unit</t>
        </is>
      </c>
      <c r="L1647" s="5" t="inlineStr">
        <is>
          <t>Meridian Home Loans</t>
        </is>
      </c>
      <c r="M1647" s="5" t="inlineStr">
        <is>
          <t>Summit Loan Servicing</t>
        </is>
      </c>
    </row>
    <row r="1648">
      <c r="A1648" s="7" t="inlineStr">
        <is>
          <t>L101643</t>
        </is>
      </c>
      <c r="B1648" s="8" t="n">
        <v>304655.8</v>
      </c>
      <c r="C1648" s="8" t="n">
        <v>294731.49</v>
      </c>
      <c r="D1648" s="27" t="n">
        <v>6.855</v>
      </c>
      <c r="E1648" s="10" t="n">
        <v>679</v>
      </c>
      <c r="F1648" s="12" t="n">
        <v>95</v>
      </c>
      <c r="G1648" s="12" t="n">
        <v>29.4</v>
      </c>
      <c r="H1648" s="10" t="n">
        <v>35</v>
      </c>
      <c r="I1648" s="10" t="n">
        <v>325</v>
      </c>
      <c r="J1648" s="7" t="inlineStr">
        <is>
          <t>CA</t>
        </is>
      </c>
      <c r="K1648" s="7" t="inlineStr">
        <is>
          <t>Multifamily</t>
        </is>
      </c>
      <c r="L1648" s="7" t="inlineStr">
        <is>
          <t>Meridian Home Loans</t>
        </is>
      </c>
      <c r="M1648" s="7" t="inlineStr">
        <is>
          <t>Summit Loan Servicing</t>
        </is>
      </c>
    </row>
    <row r="1649">
      <c r="A1649" s="5" t="inlineStr">
        <is>
          <t>L101644</t>
        </is>
      </c>
      <c r="B1649" s="16" t="n">
        <v>144027.99</v>
      </c>
      <c r="C1649" s="16" t="n">
        <v>143082.97</v>
      </c>
      <c r="D1649" s="26" t="n">
        <v>7.102</v>
      </c>
      <c r="E1649" s="6" t="n">
        <v>700</v>
      </c>
      <c r="F1649" s="11" t="n">
        <v>87.59999999999999</v>
      </c>
      <c r="G1649" s="11" t="n">
        <v>39.6</v>
      </c>
      <c r="H1649" s="6" t="n">
        <v>8</v>
      </c>
      <c r="I1649" s="6" t="n">
        <v>352</v>
      </c>
      <c r="J1649" s="5" t="inlineStr">
        <is>
          <t>WA</t>
        </is>
      </c>
      <c r="K1649" s="5" t="inlineStr">
        <is>
          <t>SFR</t>
        </is>
      </c>
      <c r="L1649" s="5" t="inlineStr">
        <is>
          <t>Apex Funding</t>
        </is>
      </c>
      <c r="M1649" s="5" t="inlineStr">
        <is>
          <t>Summit Loan Servicing</t>
        </is>
      </c>
    </row>
    <row r="1650">
      <c r="A1650" s="7" t="inlineStr">
        <is>
          <t>L101645</t>
        </is>
      </c>
      <c r="B1650" s="8" t="n">
        <v>247387.27</v>
      </c>
      <c r="C1650" s="8" t="n">
        <v>244273.32</v>
      </c>
      <c r="D1650" s="27" t="n">
        <v>5.383</v>
      </c>
      <c r="E1650" s="10" t="n">
        <v>634</v>
      </c>
      <c r="F1650" s="12" t="n">
        <v>50.1</v>
      </c>
      <c r="G1650" s="12" t="n">
        <v>45.8</v>
      </c>
      <c r="H1650" s="10" t="n">
        <v>11</v>
      </c>
      <c r="I1650" s="10" t="n">
        <v>349</v>
      </c>
      <c r="J1650" s="7" t="inlineStr">
        <is>
          <t>GA</t>
        </is>
      </c>
      <c r="K1650" s="7" t="inlineStr">
        <is>
          <t>Condo</t>
        </is>
      </c>
      <c r="L1650" s="7" t="inlineStr">
        <is>
          <t>Highline Capital</t>
        </is>
      </c>
      <c r="M1650" s="7" t="inlineStr">
        <is>
          <t>Summit Loan Servicing</t>
        </is>
      </c>
    </row>
    <row r="1651">
      <c r="A1651" s="5" t="inlineStr">
        <is>
          <t>L101646</t>
        </is>
      </c>
      <c r="B1651" s="16" t="n">
        <v>232882.87</v>
      </c>
      <c r="C1651" s="16" t="n">
        <v>229444.93</v>
      </c>
      <c r="D1651" s="26" t="n">
        <v>5.241</v>
      </c>
      <c r="E1651" s="6" t="n">
        <v>793</v>
      </c>
      <c r="F1651" s="11" t="n">
        <v>55.8</v>
      </c>
      <c r="G1651" s="11" t="n">
        <v>18.4</v>
      </c>
      <c r="H1651" s="6" t="n">
        <v>4</v>
      </c>
      <c r="I1651" s="6" t="n">
        <v>176</v>
      </c>
      <c r="J1651" s="5" t="inlineStr">
        <is>
          <t>NY</t>
        </is>
      </c>
      <c r="K1651" s="5" t="inlineStr">
        <is>
          <t>SFR</t>
        </is>
      </c>
      <c r="L1651" s="5" t="inlineStr">
        <is>
          <t>Coastal Mortgage Co</t>
        </is>
      </c>
      <c r="M1651" s="5" t="inlineStr">
        <is>
          <t>Pier Asset Mgmt</t>
        </is>
      </c>
    </row>
    <row r="1652">
      <c r="A1652" s="7" t="inlineStr">
        <is>
          <t>L101647</t>
        </is>
      </c>
      <c r="B1652" s="8" t="n">
        <v>365615.81</v>
      </c>
      <c r="C1652" s="8" t="n">
        <v>361777.27</v>
      </c>
      <c r="D1652" s="27" t="n">
        <v>7.259</v>
      </c>
      <c r="E1652" s="10" t="n">
        <v>693</v>
      </c>
      <c r="F1652" s="12" t="n">
        <v>63.8</v>
      </c>
      <c r="G1652" s="12" t="n">
        <v>47</v>
      </c>
      <c r="H1652" s="10" t="n">
        <v>13</v>
      </c>
      <c r="I1652" s="10" t="n">
        <v>347</v>
      </c>
      <c r="J1652" s="7" t="inlineStr">
        <is>
          <t>NY</t>
        </is>
      </c>
      <c r="K1652" s="7" t="inlineStr">
        <is>
          <t>SFR</t>
        </is>
      </c>
      <c r="L1652" s="7" t="inlineStr">
        <is>
          <t>Highline Capital</t>
        </is>
      </c>
      <c r="M1652" s="7" t="inlineStr">
        <is>
          <t>Northgate Servicing</t>
        </is>
      </c>
    </row>
    <row r="1653">
      <c r="A1653" s="5" t="inlineStr">
        <is>
          <t>L101648</t>
        </is>
      </c>
      <c r="B1653" s="16" t="n">
        <v>228084.33</v>
      </c>
      <c r="C1653" s="16" t="n">
        <v>219285.29</v>
      </c>
      <c r="D1653" s="26" t="n">
        <v>5.162</v>
      </c>
      <c r="E1653" s="6" t="n">
        <v>790</v>
      </c>
      <c r="F1653" s="11" t="n">
        <v>54.9</v>
      </c>
      <c r="G1653" s="11" t="n">
        <v>34.9</v>
      </c>
      <c r="H1653" s="6" t="n">
        <v>31</v>
      </c>
      <c r="I1653" s="6" t="n">
        <v>329</v>
      </c>
      <c r="J1653" s="5" t="inlineStr">
        <is>
          <t>FL</t>
        </is>
      </c>
      <c r="K1653" s="5" t="inlineStr">
        <is>
          <t>SFR</t>
        </is>
      </c>
      <c r="L1653" s="5" t="inlineStr">
        <is>
          <t>Apex Funding</t>
        </is>
      </c>
      <c r="M1653" s="5" t="inlineStr">
        <is>
          <t>Northgate Servicing</t>
        </is>
      </c>
    </row>
    <row r="1654">
      <c r="A1654" s="7" t="inlineStr">
        <is>
          <t>L101649</t>
        </is>
      </c>
      <c r="B1654" s="8" t="n">
        <v>190432.2</v>
      </c>
      <c r="C1654" s="8" t="n">
        <v>182477.43</v>
      </c>
      <c r="D1654" s="27" t="n">
        <v>6.893</v>
      </c>
      <c r="E1654" s="10" t="n">
        <v>718</v>
      </c>
      <c r="F1654" s="12" t="n">
        <v>74.5</v>
      </c>
      <c r="G1654" s="12" t="n">
        <v>20.9</v>
      </c>
      <c r="H1654" s="10" t="n">
        <v>44</v>
      </c>
      <c r="I1654" s="10" t="n">
        <v>316</v>
      </c>
      <c r="J1654" s="7" t="inlineStr">
        <is>
          <t>TX</t>
        </is>
      </c>
      <c r="K1654" s="7" t="inlineStr">
        <is>
          <t>2-4 Unit</t>
        </is>
      </c>
      <c r="L1654" s="7" t="inlineStr">
        <is>
          <t>Coastal Mortgage Co</t>
        </is>
      </c>
      <c r="M1654" s="7" t="inlineStr">
        <is>
          <t>Pier Asset Mgmt</t>
        </is>
      </c>
    </row>
    <row r="1655">
      <c r="A1655" s="5" t="inlineStr">
        <is>
          <t>L101650</t>
        </is>
      </c>
      <c r="B1655" s="16" t="n">
        <v>203351.05</v>
      </c>
      <c r="C1655" s="16" t="n">
        <v>199875.54</v>
      </c>
      <c r="D1655" s="26" t="n">
        <v>7.855</v>
      </c>
      <c r="E1655" s="6" t="n">
        <v>794</v>
      </c>
      <c r="F1655" s="11" t="n">
        <v>78.7</v>
      </c>
      <c r="G1655" s="11" t="n">
        <v>12</v>
      </c>
      <c r="H1655" s="6" t="n">
        <v>23</v>
      </c>
      <c r="I1655" s="6" t="n">
        <v>337</v>
      </c>
      <c r="J1655" s="5" t="inlineStr">
        <is>
          <t>WA</t>
        </is>
      </c>
      <c r="K1655" s="5" t="inlineStr">
        <is>
          <t>Condo</t>
        </is>
      </c>
      <c r="L1655" s="5" t="inlineStr">
        <is>
          <t>Apex Funding</t>
        </is>
      </c>
      <c r="M1655" s="5" t="inlineStr">
        <is>
          <t>Pier Asset Mgmt</t>
        </is>
      </c>
    </row>
    <row r="1656">
      <c r="A1656" s="7" t="inlineStr">
        <is>
          <t>L101651</t>
        </is>
      </c>
      <c r="B1656" s="8" t="n">
        <v>379082.44</v>
      </c>
      <c r="C1656" s="8" t="n">
        <v>378024.77</v>
      </c>
      <c r="D1656" s="27" t="n">
        <v>7.857</v>
      </c>
      <c r="E1656" s="10" t="n">
        <v>729</v>
      </c>
      <c r="F1656" s="12" t="n">
        <v>56.8</v>
      </c>
      <c r="G1656" s="12" t="n">
        <v>23.8</v>
      </c>
      <c r="H1656" s="10" t="n">
        <v>4</v>
      </c>
      <c r="I1656" s="10" t="n">
        <v>356</v>
      </c>
      <c r="J1656" s="7" t="inlineStr">
        <is>
          <t>TX</t>
        </is>
      </c>
      <c r="K1656" s="7" t="inlineStr">
        <is>
          <t>SFR</t>
        </is>
      </c>
      <c r="L1656" s="7" t="inlineStr">
        <is>
          <t>Coastal Mortgage Co</t>
        </is>
      </c>
      <c r="M1656" s="7" t="inlineStr">
        <is>
          <t>Pier Asset Mgmt</t>
        </is>
      </c>
    </row>
    <row r="1657">
      <c r="A1657" s="5" t="inlineStr">
        <is>
          <t>L101652</t>
        </is>
      </c>
      <c r="B1657" s="16" t="n">
        <v>292934.39</v>
      </c>
      <c r="C1657" s="16" t="n">
        <v>292218.9</v>
      </c>
      <c r="D1657" s="26" t="n">
        <v>7.064</v>
      </c>
      <c r="E1657" s="6" t="n">
        <v>762</v>
      </c>
      <c r="F1657" s="11" t="n">
        <v>83.3</v>
      </c>
      <c r="G1657" s="11" t="n">
        <v>35.8</v>
      </c>
      <c r="H1657" s="6" t="n">
        <v>3</v>
      </c>
      <c r="I1657" s="6" t="n">
        <v>357</v>
      </c>
      <c r="J1657" s="5" t="inlineStr">
        <is>
          <t>NY</t>
        </is>
      </c>
      <c r="K1657" s="5" t="inlineStr">
        <is>
          <t>Multifamily</t>
        </is>
      </c>
      <c r="L1657" s="5" t="inlineStr">
        <is>
          <t>Highline Capital</t>
        </is>
      </c>
      <c r="M1657" s="5" t="inlineStr">
        <is>
          <t>Summit Loan Servicing</t>
        </is>
      </c>
    </row>
    <row r="1658">
      <c r="A1658" s="7" t="inlineStr">
        <is>
          <t>L101653</t>
        </is>
      </c>
      <c r="B1658" s="8" t="n">
        <v>212145.9</v>
      </c>
      <c r="C1658" s="8" t="n">
        <v>208494.74</v>
      </c>
      <c r="D1658" s="27" t="n">
        <v>7.038</v>
      </c>
      <c r="E1658" s="10" t="n">
        <v>755</v>
      </c>
      <c r="F1658" s="12" t="n">
        <v>81.2</v>
      </c>
      <c r="G1658" s="12" t="n">
        <v>35.5</v>
      </c>
      <c r="H1658" s="10" t="n">
        <v>20</v>
      </c>
      <c r="I1658" s="10" t="n">
        <v>340</v>
      </c>
      <c r="J1658" s="7" t="inlineStr">
        <is>
          <t>TX</t>
        </is>
      </c>
      <c r="K1658" s="7" t="inlineStr">
        <is>
          <t>SFR</t>
        </is>
      </c>
      <c r="L1658" s="7" t="inlineStr">
        <is>
          <t>Highline Capital</t>
        </is>
      </c>
      <c r="M1658" s="7" t="inlineStr">
        <is>
          <t>Pier Asset Mgmt</t>
        </is>
      </c>
    </row>
    <row r="1659">
      <c r="A1659" s="5" t="inlineStr">
        <is>
          <t>L101654</t>
        </is>
      </c>
      <c r="B1659" s="16" t="n">
        <v>223517.22</v>
      </c>
      <c r="C1659" s="16" t="n">
        <v>221653.06</v>
      </c>
      <c r="D1659" s="26" t="n">
        <v>8.427</v>
      </c>
      <c r="E1659" s="6" t="n">
        <v>749</v>
      </c>
      <c r="F1659" s="11" t="n">
        <v>67.40000000000001</v>
      </c>
      <c r="G1659" s="11" t="n">
        <v>41.1</v>
      </c>
      <c r="H1659" s="6" t="n">
        <v>13</v>
      </c>
      <c r="I1659" s="6" t="n">
        <v>347</v>
      </c>
      <c r="J1659" s="5" t="inlineStr">
        <is>
          <t>WA</t>
        </is>
      </c>
      <c r="K1659" s="5" t="inlineStr">
        <is>
          <t>Multifamily</t>
        </is>
      </c>
      <c r="L1659" s="5" t="inlineStr">
        <is>
          <t>Highline Capital</t>
        </is>
      </c>
      <c r="M1659" s="5" t="inlineStr">
        <is>
          <t>Pier Asset Mgmt</t>
        </is>
      </c>
    </row>
    <row r="1660">
      <c r="A1660" s="7" t="inlineStr">
        <is>
          <t>L101655</t>
        </is>
      </c>
      <c r="B1660" s="8" t="n">
        <v>140292.95</v>
      </c>
      <c r="C1660" s="8" t="n">
        <v>134660.81</v>
      </c>
      <c r="D1660" s="27" t="n">
        <v>4.299</v>
      </c>
      <c r="E1660" s="10" t="n">
        <v>734</v>
      </c>
      <c r="F1660" s="12" t="n">
        <v>71.90000000000001</v>
      </c>
      <c r="G1660" s="12" t="n">
        <v>31.6</v>
      </c>
      <c r="H1660" s="10" t="n">
        <v>28</v>
      </c>
      <c r="I1660" s="10" t="n">
        <v>332</v>
      </c>
      <c r="J1660" s="7" t="inlineStr">
        <is>
          <t>FL</t>
        </is>
      </c>
      <c r="K1660" s="7" t="inlineStr">
        <is>
          <t>SFR</t>
        </is>
      </c>
      <c r="L1660" s="7" t="inlineStr">
        <is>
          <t>Meridian Home Loans</t>
        </is>
      </c>
      <c r="M1660" s="7" t="inlineStr">
        <is>
          <t>Summit Loan Servicing</t>
        </is>
      </c>
    </row>
    <row r="1661">
      <c r="A1661" s="5" t="inlineStr">
        <is>
          <t>L101656</t>
        </is>
      </c>
      <c r="B1661" s="16" t="n">
        <v>278163.95</v>
      </c>
      <c r="C1661" s="16" t="n">
        <v>276475.82</v>
      </c>
      <c r="D1661" s="26" t="n">
        <v>5.982</v>
      </c>
      <c r="E1661" s="6" t="n">
        <v>702</v>
      </c>
      <c r="F1661" s="11" t="n">
        <v>50.6</v>
      </c>
      <c r="G1661" s="11" t="n">
        <v>27.1</v>
      </c>
      <c r="H1661" s="6" t="n">
        <v>6</v>
      </c>
      <c r="I1661" s="6" t="n">
        <v>354</v>
      </c>
      <c r="J1661" s="5" t="inlineStr">
        <is>
          <t>NY</t>
        </is>
      </c>
      <c r="K1661" s="5" t="inlineStr">
        <is>
          <t>SFR</t>
        </is>
      </c>
      <c r="L1661" s="5" t="inlineStr">
        <is>
          <t>Meridian Home Loans</t>
        </is>
      </c>
      <c r="M1661" s="5" t="inlineStr">
        <is>
          <t>Pier Asset Mgmt</t>
        </is>
      </c>
    </row>
    <row r="1662">
      <c r="A1662" s="7" t="inlineStr">
        <is>
          <t>L101657</t>
        </is>
      </c>
      <c r="B1662" s="8" t="n">
        <v>131145.74</v>
      </c>
      <c r="C1662" s="8" t="n">
        <v>129966.2</v>
      </c>
      <c r="D1662" s="27" t="n">
        <v>7.164</v>
      </c>
      <c r="E1662" s="10" t="n">
        <v>820</v>
      </c>
      <c r="F1662" s="12" t="n">
        <v>70</v>
      </c>
      <c r="G1662" s="12" t="n">
        <v>32.7</v>
      </c>
      <c r="H1662" s="10" t="n">
        <v>11</v>
      </c>
      <c r="I1662" s="10" t="n">
        <v>349</v>
      </c>
      <c r="J1662" s="7" t="inlineStr">
        <is>
          <t>AZ</t>
        </is>
      </c>
      <c r="K1662" s="7" t="inlineStr">
        <is>
          <t>SFR</t>
        </is>
      </c>
      <c r="L1662" s="7" t="inlineStr">
        <is>
          <t>Highline Capital</t>
        </is>
      </c>
      <c r="M1662" s="7" t="inlineStr">
        <is>
          <t>Pier Asset Mgmt</t>
        </is>
      </c>
    </row>
    <row r="1663">
      <c r="A1663" s="5" t="inlineStr">
        <is>
          <t>L101658</t>
        </is>
      </c>
      <c r="B1663" s="16" t="n">
        <v>315883.5</v>
      </c>
      <c r="C1663" s="16" t="n">
        <v>306973.18</v>
      </c>
      <c r="D1663" s="26" t="n">
        <v>6.096</v>
      </c>
      <c r="E1663" s="6" t="n">
        <v>665</v>
      </c>
      <c r="F1663" s="11" t="n">
        <v>74.09999999999999</v>
      </c>
      <c r="G1663" s="11" t="n">
        <v>36.3</v>
      </c>
      <c r="H1663" s="6" t="n">
        <v>27</v>
      </c>
      <c r="I1663" s="6" t="n">
        <v>333</v>
      </c>
      <c r="J1663" s="5" t="inlineStr">
        <is>
          <t>GA</t>
        </is>
      </c>
      <c r="K1663" s="5" t="inlineStr">
        <is>
          <t>SFR</t>
        </is>
      </c>
      <c r="L1663" s="5" t="inlineStr">
        <is>
          <t>Highline Capital</t>
        </is>
      </c>
      <c r="M1663" s="5" t="inlineStr">
        <is>
          <t>Pier Asset Mgmt</t>
        </is>
      </c>
    </row>
    <row r="1664">
      <c r="A1664" s="7" t="inlineStr">
        <is>
          <t>L101659</t>
        </is>
      </c>
      <c r="B1664" s="8" t="n">
        <v>253981.72</v>
      </c>
      <c r="C1664" s="8" t="n">
        <v>242810.29</v>
      </c>
      <c r="D1664" s="27" t="n">
        <v>7.516</v>
      </c>
      <c r="E1664" s="10" t="n">
        <v>715</v>
      </c>
      <c r="F1664" s="12" t="n">
        <v>76</v>
      </c>
      <c r="G1664" s="12" t="n">
        <v>37.8</v>
      </c>
      <c r="H1664" s="10" t="n">
        <v>14</v>
      </c>
      <c r="I1664" s="10" t="n">
        <v>166</v>
      </c>
      <c r="J1664" s="7" t="inlineStr">
        <is>
          <t>NY</t>
        </is>
      </c>
      <c r="K1664" s="7" t="inlineStr">
        <is>
          <t>Condo</t>
        </is>
      </c>
      <c r="L1664" s="7" t="inlineStr">
        <is>
          <t>Apex Funding</t>
        </is>
      </c>
      <c r="M1664" s="7" t="inlineStr">
        <is>
          <t>Northgate Servicing</t>
        </is>
      </c>
    </row>
    <row r="1665">
      <c r="A1665" s="5" t="inlineStr">
        <is>
          <t>L101660</t>
        </is>
      </c>
      <c r="B1665" s="16" t="n">
        <v>559855.02</v>
      </c>
      <c r="C1665" s="16" t="n">
        <v>550069.47</v>
      </c>
      <c r="D1665" s="26" t="n">
        <v>6.365</v>
      </c>
      <c r="E1665" s="6" t="n">
        <v>716</v>
      </c>
      <c r="F1665" s="11" t="n">
        <v>78.5</v>
      </c>
      <c r="G1665" s="11" t="n">
        <v>29.7</v>
      </c>
      <c r="H1665" s="6" t="n">
        <v>18</v>
      </c>
      <c r="I1665" s="6" t="n">
        <v>342</v>
      </c>
      <c r="J1665" s="5" t="inlineStr">
        <is>
          <t>GA</t>
        </is>
      </c>
      <c r="K1665" s="5" t="inlineStr">
        <is>
          <t>Condo</t>
        </is>
      </c>
      <c r="L1665" s="5" t="inlineStr">
        <is>
          <t>Meridian Home Loans</t>
        </is>
      </c>
      <c r="M1665" s="5" t="inlineStr">
        <is>
          <t>Summit Loan Servicing</t>
        </is>
      </c>
    </row>
    <row r="1666">
      <c r="A1666" s="7" t="inlineStr">
        <is>
          <t>L101661</t>
        </is>
      </c>
      <c r="B1666" s="8" t="n">
        <v>165206.68</v>
      </c>
      <c r="C1666" s="8" t="n">
        <v>163524.7</v>
      </c>
      <c r="D1666" s="27" t="n">
        <v>6.519</v>
      </c>
      <c r="E1666" s="10" t="n">
        <v>737</v>
      </c>
      <c r="F1666" s="12" t="n">
        <v>76.90000000000001</v>
      </c>
      <c r="G1666" s="12" t="n">
        <v>43.2</v>
      </c>
      <c r="H1666" s="10" t="n">
        <v>11</v>
      </c>
      <c r="I1666" s="10" t="n">
        <v>349</v>
      </c>
      <c r="J1666" s="7" t="inlineStr">
        <is>
          <t>IL</t>
        </is>
      </c>
      <c r="K1666" s="7" t="inlineStr">
        <is>
          <t>2-4 Unit</t>
        </is>
      </c>
      <c r="L1666" s="7" t="inlineStr">
        <is>
          <t>Highline Capital</t>
        </is>
      </c>
      <c r="M1666" s="7" t="inlineStr">
        <is>
          <t>Pier Asset Mgmt</t>
        </is>
      </c>
    </row>
    <row r="1667">
      <c r="A1667" s="5" t="inlineStr">
        <is>
          <t>L101662</t>
        </is>
      </c>
      <c r="B1667" s="16" t="n">
        <v>234232.21</v>
      </c>
      <c r="C1667" s="16" t="n">
        <v>233549.41</v>
      </c>
      <c r="D1667" s="26" t="n">
        <v>6.153</v>
      </c>
      <c r="E1667" s="6" t="n">
        <v>691</v>
      </c>
      <c r="F1667" s="11" t="n">
        <v>70.8</v>
      </c>
      <c r="G1667" s="11" t="n">
        <v>31</v>
      </c>
      <c r="H1667" s="6" t="n">
        <v>3</v>
      </c>
      <c r="I1667" s="6" t="n">
        <v>357</v>
      </c>
      <c r="J1667" s="5" t="inlineStr">
        <is>
          <t>FL</t>
        </is>
      </c>
      <c r="K1667" s="5" t="inlineStr">
        <is>
          <t>SFR</t>
        </is>
      </c>
      <c r="L1667" s="5" t="inlineStr">
        <is>
          <t>Coastal Mortgage Co</t>
        </is>
      </c>
      <c r="M1667" s="5" t="inlineStr">
        <is>
          <t>Northgate Servicing</t>
        </is>
      </c>
    </row>
    <row r="1668">
      <c r="A1668" s="7" t="inlineStr">
        <is>
          <t>L101663</t>
        </is>
      </c>
      <c r="B1668" s="8" t="n">
        <v>455613.75</v>
      </c>
      <c r="C1668" s="8" t="n">
        <v>447482.62</v>
      </c>
      <c r="D1668" s="27" t="n">
        <v>5.93</v>
      </c>
      <c r="E1668" s="10" t="n">
        <v>732</v>
      </c>
      <c r="F1668" s="12" t="n">
        <v>77.40000000000001</v>
      </c>
      <c r="G1668" s="12" t="n">
        <v>29</v>
      </c>
      <c r="H1668" s="10" t="n">
        <v>17</v>
      </c>
      <c r="I1668" s="10" t="n">
        <v>343</v>
      </c>
      <c r="J1668" s="7" t="inlineStr">
        <is>
          <t>GA</t>
        </is>
      </c>
      <c r="K1668" s="7" t="inlineStr">
        <is>
          <t>SFR</t>
        </is>
      </c>
      <c r="L1668" s="7" t="inlineStr">
        <is>
          <t>Coastal Mortgage Co</t>
        </is>
      </c>
      <c r="M1668" s="7" t="inlineStr">
        <is>
          <t>Pier Asset Mgmt</t>
        </is>
      </c>
    </row>
    <row r="1669">
      <c r="A1669" s="5" t="inlineStr">
        <is>
          <t>L101664</t>
        </is>
      </c>
      <c r="B1669" s="16" t="n">
        <v>368422.76</v>
      </c>
      <c r="C1669" s="16" t="n">
        <v>362224.8</v>
      </c>
      <c r="D1669" s="26" t="n">
        <v>5.908</v>
      </c>
      <c r="E1669" s="6" t="n">
        <v>706</v>
      </c>
      <c r="F1669" s="11" t="n">
        <v>86</v>
      </c>
      <c r="G1669" s="11" t="n">
        <v>31.7</v>
      </c>
      <c r="H1669" s="6" t="n">
        <v>16</v>
      </c>
      <c r="I1669" s="6" t="n">
        <v>344</v>
      </c>
      <c r="J1669" s="5" t="inlineStr">
        <is>
          <t>NY</t>
        </is>
      </c>
      <c r="K1669" s="5" t="inlineStr">
        <is>
          <t>SFR</t>
        </is>
      </c>
      <c r="L1669" s="5" t="inlineStr">
        <is>
          <t>Coastal Mortgage Co</t>
        </is>
      </c>
      <c r="M1669" s="5" t="inlineStr">
        <is>
          <t>Summit Loan Servicing</t>
        </is>
      </c>
    </row>
    <row r="1670">
      <c r="A1670" s="7" t="inlineStr">
        <is>
          <t>L101665</t>
        </is>
      </c>
      <c r="B1670" s="8" t="n">
        <v>190294.05</v>
      </c>
      <c r="C1670" s="8" t="n">
        <v>182198.19</v>
      </c>
      <c r="D1670" s="27" t="n">
        <v>6.644</v>
      </c>
      <c r="E1670" s="10" t="n">
        <v>628</v>
      </c>
      <c r="F1670" s="12" t="n">
        <v>72.90000000000001</v>
      </c>
      <c r="G1670" s="12" t="n">
        <v>44.6</v>
      </c>
      <c r="H1670" s="10" t="n">
        <v>43</v>
      </c>
      <c r="I1670" s="10" t="n">
        <v>317</v>
      </c>
      <c r="J1670" s="7" t="inlineStr">
        <is>
          <t>WA</t>
        </is>
      </c>
      <c r="K1670" s="7" t="inlineStr">
        <is>
          <t>SFR</t>
        </is>
      </c>
      <c r="L1670" s="7" t="inlineStr">
        <is>
          <t>Coastal Mortgage Co</t>
        </is>
      </c>
      <c r="M1670" s="7" t="inlineStr">
        <is>
          <t>Summit Loan Servicing</t>
        </is>
      </c>
    </row>
    <row r="1671">
      <c r="A1671" s="5" t="inlineStr">
        <is>
          <t>L101666</t>
        </is>
      </c>
      <c r="B1671" s="16" t="n">
        <v>262600.36</v>
      </c>
      <c r="C1671" s="16" t="n">
        <v>249775.03</v>
      </c>
      <c r="D1671" s="26" t="n">
        <v>5.703</v>
      </c>
      <c r="E1671" s="6" t="n">
        <v>716</v>
      </c>
      <c r="F1671" s="11" t="n">
        <v>77.8</v>
      </c>
      <c r="G1671" s="11" t="n">
        <v>34.9</v>
      </c>
      <c r="H1671" s="6" t="n">
        <v>42</v>
      </c>
      <c r="I1671" s="6" t="n">
        <v>318</v>
      </c>
      <c r="J1671" s="5" t="inlineStr">
        <is>
          <t>IL</t>
        </is>
      </c>
      <c r="K1671" s="5" t="inlineStr">
        <is>
          <t>SFR</t>
        </is>
      </c>
      <c r="L1671" s="5" t="inlineStr">
        <is>
          <t>Coastal Mortgage Co</t>
        </is>
      </c>
      <c r="M1671" s="5" t="inlineStr">
        <is>
          <t>Pier Asset Mgmt</t>
        </is>
      </c>
    </row>
    <row r="1672">
      <c r="A1672" s="7" t="inlineStr">
        <is>
          <t>L101667</t>
        </is>
      </c>
      <c r="B1672" s="8" t="n">
        <v>242971.58</v>
      </c>
      <c r="C1672" s="8" t="n">
        <v>238747.72</v>
      </c>
      <c r="D1672" s="27" t="n">
        <v>7.258</v>
      </c>
      <c r="E1672" s="10" t="n">
        <v>654</v>
      </c>
      <c r="F1672" s="12" t="n">
        <v>71.8</v>
      </c>
      <c r="G1672" s="12" t="n">
        <v>30.4</v>
      </c>
      <c r="H1672" s="10" t="n">
        <v>21</v>
      </c>
      <c r="I1672" s="10" t="n">
        <v>339</v>
      </c>
      <c r="J1672" s="7" t="inlineStr">
        <is>
          <t>AZ</t>
        </is>
      </c>
      <c r="K1672" s="7" t="inlineStr">
        <is>
          <t>SFR</t>
        </is>
      </c>
      <c r="L1672" s="7" t="inlineStr">
        <is>
          <t>Coastal Mortgage Co</t>
        </is>
      </c>
      <c r="M1672" s="7" t="inlineStr">
        <is>
          <t>Northgate Servicing</t>
        </is>
      </c>
    </row>
    <row r="1673">
      <c r="A1673" s="5" t="inlineStr">
        <is>
          <t>L101668</t>
        </is>
      </c>
      <c r="B1673" s="16" t="n">
        <v>267984.54</v>
      </c>
      <c r="C1673" s="16" t="n">
        <v>264782.5</v>
      </c>
      <c r="D1673" s="26" t="n">
        <v>6.988</v>
      </c>
      <c r="E1673" s="6" t="n">
        <v>620</v>
      </c>
      <c r="F1673" s="11" t="n">
        <v>66.2</v>
      </c>
      <c r="G1673" s="11" t="n">
        <v>43.4</v>
      </c>
      <c r="H1673" s="6" t="n">
        <v>14</v>
      </c>
      <c r="I1673" s="6" t="n">
        <v>346</v>
      </c>
      <c r="J1673" s="5" t="inlineStr">
        <is>
          <t>FL</t>
        </is>
      </c>
      <c r="K1673" s="5" t="inlineStr">
        <is>
          <t>2-4 Unit</t>
        </is>
      </c>
      <c r="L1673" s="5" t="inlineStr">
        <is>
          <t>Apex Funding</t>
        </is>
      </c>
      <c r="M1673" s="5" t="inlineStr">
        <is>
          <t>Pier Asset Mgmt</t>
        </is>
      </c>
    </row>
    <row r="1674">
      <c r="A1674" s="7" t="inlineStr">
        <is>
          <t>L101669</t>
        </is>
      </c>
      <c r="B1674" s="8" t="n">
        <v>190129.72</v>
      </c>
      <c r="C1674" s="8" t="n">
        <v>187069.14</v>
      </c>
      <c r="D1674" s="27" t="n">
        <v>7.389</v>
      </c>
      <c r="E1674" s="10" t="n">
        <v>723</v>
      </c>
      <c r="F1674" s="12" t="n">
        <v>80.3</v>
      </c>
      <c r="G1674" s="12" t="n">
        <v>53.1</v>
      </c>
      <c r="H1674" s="10" t="n">
        <v>20</v>
      </c>
      <c r="I1674" s="10" t="n">
        <v>340</v>
      </c>
      <c r="J1674" s="7" t="inlineStr">
        <is>
          <t>NC</t>
        </is>
      </c>
      <c r="K1674" s="7" t="inlineStr">
        <is>
          <t>Multifamily</t>
        </is>
      </c>
      <c r="L1674" s="7" t="inlineStr">
        <is>
          <t>Meridian Home Loans</t>
        </is>
      </c>
      <c r="M1674" s="7" t="inlineStr">
        <is>
          <t>Pier Asset Mgmt</t>
        </is>
      </c>
    </row>
    <row r="1675">
      <c r="A1675" s="5" t="inlineStr">
        <is>
          <t>L101670</t>
        </is>
      </c>
      <c r="B1675" s="16" t="n">
        <v>235328.54</v>
      </c>
      <c r="C1675" s="16" t="n">
        <v>208987.49</v>
      </c>
      <c r="D1675" s="26" t="n">
        <v>5.384</v>
      </c>
      <c r="E1675" s="6" t="n">
        <v>742</v>
      </c>
      <c r="F1675" s="11" t="n">
        <v>67.3</v>
      </c>
      <c r="G1675" s="11" t="n">
        <v>37.7</v>
      </c>
      <c r="H1675" s="6" t="n">
        <v>29</v>
      </c>
      <c r="I1675" s="6" t="n">
        <v>151</v>
      </c>
      <c r="J1675" s="5" t="inlineStr">
        <is>
          <t>GA</t>
        </is>
      </c>
      <c r="K1675" s="5" t="inlineStr">
        <is>
          <t>2-4 Unit</t>
        </is>
      </c>
      <c r="L1675" s="5" t="inlineStr">
        <is>
          <t>Coastal Mortgage Co</t>
        </is>
      </c>
      <c r="M1675" s="5" t="inlineStr">
        <is>
          <t>Northgate Servicing</t>
        </is>
      </c>
    </row>
    <row r="1676">
      <c r="A1676" s="7" t="inlineStr">
        <is>
          <t>L101671</t>
        </is>
      </c>
      <c r="B1676" s="8" t="n">
        <v>138785.06</v>
      </c>
      <c r="C1676" s="8" t="n">
        <v>135418.46</v>
      </c>
      <c r="D1676" s="27" t="n">
        <v>4.87</v>
      </c>
      <c r="E1676" s="10" t="n">
        <v>744</v>
      </c>
      <c r="F1676" s="12" t="n">
        <v>78.59999999999999</v>
      </c>
      <c r="G1676" s="12" t="n">
        <v>45.9</v>
      </c>
      <c r="H1676" s="10" t="n">
        <v>19</v>
      </c>
      <c r="I1676" s="10" t="n">
        <v>341</v>
      </c>
      <c r="J1676" s="7" t="inlineStr">
        <is>
          <t>AZ</t>
        </is>
      </c>
      <c r="K1676" s="7" t="inlineStr">
        <is>
          <t>SFR</t>
        </is>
      </c>
      <c r="L1676" s="7" t="inlineStr">
        <is>
          <t>Meridian Home Loans</t>
        </is>
      </c>
      <c r="M1676" s="7" t="inlineStr">
        <is>
          <t>Summit Loan Servicing</t>
        </is>
      </c>
    </row>
    <row r="1677">
      <c r="A1677" s="5" t="inlineStr">
        <is>
          <t>L101672</t>
        </is>
      </c>
      <c r="B1677" s="16" t="n">
        <v>254560.35</v>
      </c>
      <c r="C1677" s="16" t="n">
        <v>245268.66</v>
      </c>
      <c r="D1677" s="26" t="n">
        <v>6.396</v>
      </c>
      <c r="E1677" s="6" t="n">
        <v>746</v>
      </c>
      <c r="F1677" s="11" t="n">
        <v>74.3</v>
      </c>
      <c r="G1677" s="11" t="n">
        <v>44.3</v>
      </c>
      <c r="H1677" s="6" t="n">
        <v>36</v>
      </c>
      <c r="I1677" s="6" t="n">
        <v>324</v>
      </c>
      <c r="J1677" s="5" t="inlineStr">
        <is>
          <t>IL</t>
        </is>
      </c>
      <c r="K1677" s="5" t="inlineStr">
        <is>
          <t>SFR</t>
        </is>
      </c>
      <c r="L1677" s="5" t="inlineStr">
        <is>
          <t>Apex Funding</t>
        </is>
      </c>
      <c r="M1677" s="5" t="inlineStr">
        <is>
          <t>Pier Asset Mgmt</t>
        </is>
      </c>
    </row>
    <row r="1678">
      <c r="A1678" s="7" t="inlineStr">
        <is>
          <t>L101673</t>
        </is>
      </c>
      <c r="B1678" s="8" t="n">
        <v>284220.96</v>
      </c>
      <c r="C1678" s="8" t="n">
        <v>275744.83</v>
      </c>
      <c r="D1678" s="27" t="n">
        <v>9.009</v>
      </c>
      <c r="E1678" s="10" t="n">
        <v>609</v>
      </c>
      <c r="F1678" s="12" t="n">
        <v>70.40000000000001</v>
      </c>
      <c r="G1678" s="12" t="n">
        <v>31.2</v>
      </c>
      <c r="H1678" s="10" t="n">
        <v>46</v>
      </c>
      <c r="I1678" s="10" t="n">
        <v>314</v>
      </c>
      <c r="J1678" s="7" t="inlineStr">
        <is>
          <t>AZ</t>
        </is>
      </c>
      <c r="K1678" s="7" t="inlineStr">
        <is>
          <t>SFR</t>
        </is>
      </c>
      <c r="L1678" s="7" t="inlineStr">
        <is>
          <t>Highline Capital</t>
        </is>
      </c>
      <c r="M1678" s="7" t="inlineStr">
        <is>
          <t>Pier Asset Mgmt</t>
        </is>
      </c>
    </row>
    <row r="1679">
      <c r="A1679" s="5" t="inlineStr">
        <is>
          <t>L101674</t>
        </is>
      </c>
      <c r="B1679" s="16" t="n">
        <v>224224.53</v>
      </c>
      <c r="C1679" s="16" t="n">
        <v>220904.18</v>
      </c>
      <c r="D1679" s="26" t="n">
        <v>7.54</v>
      </c>
      <c r="E1679" s="6" t="n">
        <v>640</v>
      </c>
      <c r="F1679" s="11" t="n">
        <v>70.09999999999999</v>
      </c>
      <c r="G1679" s="11" t="n">
        <v>36.2</v>
      </c>
      <c r="H1679" s="6" t="n">
        <v>19</v>
      </c>
      <c r="I1679" s="6" t="n">
        <v>341</v>
      </c>
      <c r="J1679" s="5" t="inlineStr">
        <is>
          <t>CA</t>
        </is>
      </c>
      <c r="K1679" s="5" t="inlineStr">
        <is>
          <t>SFR</t>
        </is>
      </c>
      <c r="L1679" s="5" t="inlineStr">
        <is>
          <t>Highline Capital</t>
        </is>
      </c>
      <c r="M1679" s="5" t="inlineStr">
        <is>
          <t>Northgate Servicing</t>
        </is>
      </c>
    </row>
    <row r="1680">
      <c r="A1680" s="7" t="inlineStr">
        <is>
          <t>L101675</t>
        </is>
      </c>
      <c r="B1680" s="8" t="n">
        <v>137961.81</v>
      </c>
      <c r="C1680" s="8" t="n">
        <v>135055.85</v>
      </c>
      <c r="D1680" s="27" t="n">
        <v>5.901</v>
      </c>
      <c r="E1680" s="10" t="n">
        <v>820</v>
      </c>
      <c r="F1680" s="12" t="n">
        <v>67.90000000000001</v>
      </c>
      <c r="G1680" s="12" t="n">
        <v>25.7</v>
      </c>
      <c r="H1680" s="10" t="n">
        <v>6</v>
      </c>
      <c r="I1680" s="10" t="n">
        <v>174</v>
      </c>
      <c r="J1680" s="7" t="inlineStr">
        <is>
          <t>NC</t>
        </is>
      </c>
      <c r="K1680" s="7" t="inlineStr">
        <is>
          <t>SFR</t>
        </is>
      </c>
      <c r="L1680" s="7" t="inlineStr">
        <is>
          <t>Meridian Home Loans</t>
        </is>
      </c>
      <c r="M1680" s="7" t="inlineStr">
        <is>
          <t>Pier Asset Mgmt</t>
        </is>
      </c>
    </row>
    <row r="1681">
      <c r="A1681" s="5" t="inlineStr">
        <is>
          <t>L101676</t>
        </is>
      </c>
      <c r="B1681" s="16" t="n">
        <v>343171.69</v>
      </c>
      <c r="C1681" s="16" t="n">
        <v>341384.9</v>
      </c>
      <c r="D1681" s="26" t="n">
        <v>6.782</v>
      </c>
      <c r="E1681" s="6" t="n">
        <v>657</v>
      </c>
      <c r="F1681" s="11" t="n">
        <v>54.3</v>
      </c>
      <c r="G1681" s="11" t="n">
        <v>34.4</v>
      </c>
      <c r="H1681" s="6" t="n">
        <v>6</v>
      </c>
      <c r="I1681" s="6" t="n">
        <v>354</v>
      </c>
      <c r="J1681" s="5" t="inlineStr">
        <is>
          <t>AZ</t>
        </is>
      </c>
      <c r="K1681" s="5" t="inlineStr">
        <is>
          <t>Multifamily</t>
        </is>
      </c>
      <c r="L1681" s="5" t="inlineStr">
        <is>
          <t>Apex Funding</t>
        </is>
      </c>
      <c r="M1681" s="5" t="inlineStr">
        <is>
          <t>Summit Loan Servicing</t>
        </is>
      </c>
    </row>
    <row r="1682">
      <c r="A1682" s="7" t="inlineStr">
        <is>
          <t>L101677</t>
        </is>
      </c>
      <c r="B1682" s="8" t="n">
        <v>275842.07</v>
      </c>
      <c r="C1682" s="8" t="n">
        <v>265506.41</v>
      </c>
      <c r="D1682" s="27" t="n">
        <v>7.055</v>
      </c>
      <c r="E1682" s="10" t="n">
        <v>749</v>
      </c>
      <c r="F1682" s="12" t="n">
        <v>78.59999999999999</v>
      </c>
      <c r="G1682" s="12" t="n">
        <v>31</v>
      </c>
      <c r="H1682" s="10" t="n">
        <v>41</v>
      </c>
      <c r="I1682" s="10" t="n">
        <v>319</v>
      </c>
      <c r="J1682" s="7" t="inlineStr">
        <is>
          <t>IL</t>
        </is>
      </c>
      <c r="K1682" s="7" t="inlineStr">
        <is>
          <t>SFR</t>
        </is>
      </c>
      <c r="L1682" s="7" t="inlineStr">
        <is>
          <t>Meridian Home Loans</t>
        </is>
      </c>
      <c r="M1682" s="7" t="inlineStr">
        <is>
          <t>Northgate Servicing</t>
        </is>
      </c>
    </row>
    <row r="1683">
      <c r="A1683" s="5" t="inlineStr">
        <is>
          <t>L101678</t>
        </is>
      </c>
      <c r="B1683" s="16" t="n">
        <v>188319.4</v>
      </c>
      <c r="C1683" s="16" t="n">
        <v>183748.52</v>
      </c>
      <c r="D1683" s="26" t="n">
        <v>5.168</v>
      </c>
      <c r="E1683" s="6" t="n">
        <v>677</v>
      </c>
      <c r="F1683" s="11" t="n">
        <v>76.8</v>
      </c>
      <c r="G1683" s="11" t="n">
        <v>32.8</v>
      </c>
      <c r="H1683" s="6" t="n">
        <v>20</v>
      </c>
      <c r="I1683" s="6" t="n">
        <v>340</v>
      </c>
      <c r="J1683" s="5" t="inlineStr">
        <is>
          <t>CA</t>
        </is>
      </c>
      <c r="K1683" s="5" t="inlineStr">
        <is>
          <t>SFR</t>
        </is>
      </c>
      <c r="L1683" s="5" t="inlineStr">
        <is>
          <t>Coastal Mortgage Co</t>
        </is>
      </c>
      <c r="M1683" s="5" t="inlineStr">
        <is>
          <t>Summit Loan Servicing</t>
        </is>
      </c>
    </row>
    <row r="1684">
      <c r="A1684" s="7" t="inlineStr">
        <is>
          <t>L101679</t>
        </is>
      </c>
      <c r="B1684" s="8" t="n">
        <v>220089.56</v>
      </c>
      <c r="C1684" s="8" t="n">
        <v>217419.87</v>
      </c>
      <c r="D1684" s="27" t="n">
        <v>7.633</v>
      </c>
      <c r="E1684" s="10" t="n">
        <v>719</v>
      </c>
      <c r="F1684" s="12" t="n">
        <v>84.2</v>
      </c>
      <c r="G1684" s="12" t="n">
        <v>30</v>
      </c>
      <c r="H1684" s="10" t="n">
        <v>16</v>
      </c>
      <c r="I1684" s="10" t="n">
        <v>344</v>
      </c>
      <c r="J1684" s="7" t="inlineStr">
        <is>
          <t>GA</t>
        </is>
      </c>
      <c r="K1684" s="7" t="inlineStr">
        <is>
          <t>SFR</t>
        </is>
      </c>
      <c r="L1684" s="7" t="inlineStr">
        <is>
          <t>Coastal Mortgage Co</t>
        </is>
      </c>
      <c r="M1684" s="7" t="inlineStr">
        <is>
          <t>Northgate Servicing</t>
        </is>
      </c>
    </row>
    <row r="1685">
      <c r="A1685" s="5" t="inlineStr">
        <is>
          <t>L101680</t>
        </is>
      </c>
      <c r="B1685" s="16" t="n">
        <v>143596.95</v>
      </c>
      <c r="C1685" s="16" t="n">
        <v>139184.41</v>
      </c>
      <c r="D1685" s="26" t="n">
        <v>6.249</v>
      </c>
      <c r="E1685" s="6" t="n">
        <v>680</v>
      </c>
      <c r="F1685" s="11" t="n">
        <v>67.59999999999999</v>
      </c>
      <c r="G1685" s="11" t="n">
        <v>33.7</v>
      </c>
      <c r="H1685" s="6" t="n">
        <v>30</v>
      </c>
      <c r="I1685" s="6" t="n">
        <v>330</v>
      </c>
      <c r="J1685" s="5" t="inlineStr">
        <is>
          <t>AZ</t>
        </is>
      </c>
      <c r="K1685" s="5" t="inlineStr">
        <is>
          <t>Multifamily</t>
        </is>
      </c>
      <c r="L1685" s="5" t="inlineStr">
        <is>
          <t>Apex Funding</t>
        </is>
      </c>
      <c r="M1685" s="5" t="inlineStr">
        <is>
          <t>Northgate Servicing</t>
        </is>
      </c>
    </row>
    <row r="1686">
      <c r="A1686" s="7" t="inlineStr">
        <is>
          <t>L101681</t>
        </is>
      </c>
      <c r="B1686" s="8" t="n">
        <v>169584.47</v>
      </c>
      <c r="C1686" s="8" t="n">
        <v>161544.17</v>
      </c>
      <c r="D1686" s="27" t="n">
        <v>6.318</v>
      </c>
      <c r="E1686" s="10" t="n">
        <v>746</v>
      </c>
      <c r="F1686" s="12" t="n">
        <v>96.7</v>
      </c>
      <c r="G1686" s="12" t="n">
        <v>40.3</v>
      </c>
      <c r="H1686" s="10" t="n">
        <v>45</v>
      </c>
      <c r="I1686" s="10" t="n">
        <v>315</v>
      </c>
      <c r="J1686" s="7" t="inlineStr">
        <is>
          <t>IL</t>
        </is>
      </c>
      <c r="K1686" s="7" t="inlineStr">
        <is>
          <t>SFR</t>
        </is>
      </c>
      <c r="L1686" s="7" t="inlineStr">
        <is>
          <t>Coastal Mortgage Co</t>
        </is>
      </c>
      <c r="M1686" s="7" t="inlineStr">
        <is>
          <t>Northgate Servicing</t>
        </is>
      </c>
    </row>
    <row r="1687">
      <c r="A1687" s="5" t="inlineStr">
        <is>
          <t>L101682</t>
        </is>
      </c>
      <c r="B1687" s="16" t="n">
        <v>201141.92</v>
      </c>
      <c r="C1687" s="16" t="n">
        <v>197255.14</v>
      </c>
      <c r="D1687" s="26" t="n">
        <v>6.421</v>
      </c>
      <c r="E1687" s="6" t="n">
        <v>723</v>
      </c>
      <c r="F1687" s="11" t="n">
        <v>69.40000000000001</v>
      </c>
      <c r="G1687" s="11" t="n">
        <v>35</v>
      </c>
      <c r="H1687" s="6" t="n">
        <v>20</v>
      </c>
      <c r="I1687" s="6" t="n">
        <v>340</v>
      </c>
      <c r="J1687" s="5" t="inlineStr">
        <is>
          <t>CA</t>
        </is>
      </c>
      <c r="K1687" s="5" t="inlineStr">
        <is>
          <t>2-4 Unit</t>
        </is>
      </c>
      <c r="L1687" s="5" t="inlineStr">
        <is>
          <t>Apex Funding</t>
        </is>
      </c>
      <c r="M1687" s="5" t="inlineStr">
        <is>
          <t>Summit Loan Servicing</t>
        </is>
      </c>
    </row>
    <row r="1688">
      <c r="A1688" s="7" t="inlineStr">
        <is>
          <t>L101683</t>
        </is>
      </c>
      <c r="B1688" s="8" t="n">
        <v>373228.94</v>
      </c>
      <c r="C1688" s="8" t="n">
        <v>368827.9</v>
      </c>
      <c r="D1688" s="27" t="n">
        <v>7.43</v>
      </c>
      <c r="E1688" s="10" t="n">
        <v>690</v>
      </c>
      <c r="F1688" s="12" t="n">
        <v>63.5</v>
      </c>
      <c r="G1688" s="12" t="n">
        <v>21.1</v>
      </c>
      <c r="H1688" s="10" t="n">
        <v>15</v>
      </c>
      <c r="I1688" s="10" t="n">
        <v>345</v>
      </c>
      <c r="J1688" s="7" t="inlineStr">
        <is>
          <t>NY</t>
        </is>
      </c>
      <c r="K1688" s="7" t="inlineStr">
        <is>
          <t>SFR</t>
        </is>
      </c>
      <c r="L1688" s="7" t="inlineStr">
        <is>
          <t>Apex Funding</t>
        </is>
      </c>
      <c r="M1688" s="7" t="inlineStr">
        <is>
          <t>Pier Asset Mgmt</t>
        </is>
      </c>
    </row>
    <row r="1689">
      <c r="A1689" s="5" t="inlineStr">
        <is>
          <t>L101684</t>
        </is>
      </c>
      <c r="B1689" s="16" t="n">
        <v>194108.74</v>
      </c>
      <c r="C1689" s="16" t="n">
        <v>184903.88</v>
      </c>
      <c r="D1689" s="26" t="n">
        <v>5.72</v>
      </c>
      <c r="E1689" s="6" t="n">
        <v>657</v>
      </c>
      <c r="F1689" s="11" t="n">
        <v>62.1</v>
      </c>
      <c r="G1689" s="11" t="n">
        <v>30</v>
      </c>
      <c r="H1689" s="6" t="n">
        <v>41</v>
      </c>
      <c r="I1689" s="6" t="n">
        <v>319</v>
      </c>
      <c r="J1689" s="5" t="inlineStr">
        <is>
          <t>WA</t>
        </is>
      </c>
      <c r="K1689" s="5" t="inlineStr">
        <is>
          <t>SFR</t>
        </is>
      </c>
      <c r="L1689" s="5" t="inlineStr">
        <is>
          <t>Highline Capital</t>
        </is>
      </c>
      <c r="M1689" s="5" t="inlineStr">
        <is>
          <t>Northgate Servicing</t>
        </is>
      </c>
    </row>
    <row r="1690">
      <c r="A1690" s="7" t="inlineStr">
        <is>
          <t>L101685</t>
        </is>
      </c>
      <c r="B1690" s="8" t="n">
        <v>303784.78</v>
      </c>
      <c r="C1690" s="8" t="n">
        <v>302278.51</v>
      </c>
      <c r="D1690" s="27" t="n">
        <v>4.864</v>
      </c>
      <c r="E1690" s="10" t="n">
        <v>730</v>
      </c>
      <c r="F1690" s="12" t="n">
        <v>53.2</v>
      </c>
      <c r="G1690" s="12" t="n">
        <v>23.8</v>
      </c>
      <c r="H1690" s="10" t="n">
        <v>4</v>
      </c>
      <c r="I1690" s="10" t="n">
        <v>356</v>
      </c>
      <c r="J1690" s="7" t="inlineStr">
        <is>
          <t>FL</t>
        </is>
      </c>
      <c r="K1690" s="7" t="inlineStr">
        <is>
          <t>2-4 Unit</t>
        </is>
      </c>
      <c r="L1690" s="7" t="inlineStr">
        <is>
          <t>Meridian Home Loans</t>
        </is>
      </c>
      <c r="M1690" s="7" t="inlineStr">
        <is>
          <t>Northgate Servicing</t>
        </is>
      </c>
    </row>
    <row r="1691">
      <c r="A1691" s="5" t="inlineStr">
        <is>
          <t>L101686</t>
        </is>
      </c>
      <c r="B1691" s="16" t="n">
        <v>201106.39</v>
      </c>
      <c r="C1691" s="16" t="n">
        <v>193281.53</v>
      </c>
      <c r="D1691" s="26" t="n">
        <v>6.691</v>
      </c>
      <c r="E1691" s="6" t="n">
        <v>648</v>
      </c>
      <c r="F1691" s="11" t="n">
        <v>92.40000000000001</v>
      </c>
      <c r="G1691" s="11" t="n">
        <v>38</v>
      </c>
      <c r="H1691" s="6" t="n">
        <v>40</v>
      </c>
      <c r="I1691" s="6" t="n">
        <v>320</v>
      </c>
      <c r="J1691" s="5" t="inlineStr">
        <is>
          <t>GA</t>
        </is>
      </c>
      <c r="K1691" s="5" t="inlineStr">
        <is>
          <t>SFR</t>
        </is>
      </c>
      <c r="L1691" s="5" t="inlineStr">
        <is>
          <t>Highline Capital</t>
        </is>
      </c>
      <c r="M1691" s="5" t="inlineStr">
        <is>
          <t>Pier Asset Mgmt</t>
        </is>
      </c>
    </row>
    <row r="1692">
      <c r="A1692" s="7" t="inlineStr">
        <is>
          <t>L101687</t>
        </is>
      </c>
      <c r="B1692" s="8" t="n">
        <v>264813.65</v>
      </c>
      <c r="C1692" s="8" t="n">
        <v>255786.84</v>
      </c>
      <c r="D1692" s="27" t="n">
        <v>4.561</v>
      </c>
      <c r="E1692" s="10" t="n">
        <v>739</v>
      </c>
      <c r="F1692" s="12" t="n">
        <v>90.5</v>
      </c>
      <c r="G1692" s="12" t="n">
        <v>40</v>
      </c>
      <c r="H1692" s="10" t="n">
        <v>25</v>
      </c>
      <c r="I1692" s="10" t="n">
        <v>335</v>
      </c>
      <c r="J1692" s="7" t="inlineStr">
        <is>
          <t>NY</t>
        </is>
      </c>
      <c r="K1692" s="7" t="inlineStr">
        <is>
          <t>Condo</t>
        </is>
      </c>
      <c r="L1692" s="7" t="inlineStr">
        <is>
          <t>Highline Capital</t>
        </is>
      </c>
      <c r="M1692" s="7" t="inlineStr">
        <is>
          <t>Northgate Servicing</t>
        </is>
      </c>
    </row>
    <row r="1693">
      <c r="A1693" s="5" t="inlineStr">
        <is>
          <t>L101688</t>
        </is>
      </c>
      <c r="B1693" s="16" t="n">
        <v>231078.23</v>
      </c>
      <c r="C1693" s="16" t="n">
        <v>230853.8</v>
      </c>
      <c r="D1693" s="26" t="n">
        <v>6.129</v>
      </c>
      <c r="E1693" s="6" t="n">
        <v>820</v>
      </c>
      <c r="F1693" s="11" t="n">
        <v>81.2</v>
      </c>
      <c r="G1693" s="11" t="n">
        <v>38.1</v>
      </c>
      <c r="H1693" s="6" t="n">
        <v>1</v>
      </c>
      <c r="I1693" s="6" t="n">
        <v>359</v>
      </c>
      <c r="J1693" s="5" t="inlineStr">
        <is>
          <t>AZ</t>
        </is>
      </c>
      <c r="K1693" s="5" t="inlineStr">
        <is>
          <t>SFR</t>
        </is>
      </c>
      <c r="L1693" s="5" t="inlineStr">
        <is>
          <t>Apex Funding</t>
        </is>
      </c>
      <c r="M1693" s="5" t="inlineStr">
        <is>
          <t>Pier Asset Mgmt</t>
        </is>
      </c>
    </row>
    <row r="1694">
      <c r="A1694" s="7" t="inlineStr">
        <is>
          <t>L101689</t>
        </is>
      </c>
      <c r="B1694" s="8" t="n">
        <v>329578.49</v>
      </c>
      <c r="C1694" s="8" t="n">
        <v>326784.81</v>
      </c>
      <c r="D1694" s="27" t="n">
        <v>7.468</v>
      </c>
      <c r="E1694" s="10" t="n">
        <v>789</v>
      </c>
      <c r="F1694" s="12" t="n">
        <v>63.2</v>
      </c>
      <c r="G1694" s="12" t="n">
        <v>29.7</v>
      </c>
      <c r="H1694" s="10" t="n">
        <v>11</v>
      </c>
      <c r="I1694" s="10" t="n">
        <v>349</v>
      </c>
      <c r="J1694" s="7" t="inlineStr">
        <is>
          <t>IL</t>
        </is>
      </c>
      <c r="K1694" s="7" t="inlineStr">
        <is>
          <t>SFR</t>
        </is>
      </c>
      <c r="L1694" s="7" t="inlineStr">
        <is>
          <t>Highline Capital</t>
        </is>
      </c>
      <c r="M1694" s="7" t="inlineStr">
        <is>
          <t>Summit Loan Servicing</t>
        </is>
      </c>
    </row>
    <row r="1695">
      <c r="A1695" s="5" t="inlineStr">
        <is>
          <t>L101690</t>
        </is>
      </c>
      <c r="B1695" s="16" t="n">
        <v>201353.23</v>
      </c>
      <c r="C1695" s="16" t="n">
        <v>195480.43</v>
      </c>
      <c r="D1695" s="26" t="n">
        <v>6.921</v>
      </c>
      <c r="E1695" s="6" t="n">
        <v>755</v>
      </c>
      <c r="F1695" s="11" t="n">
        <v>95.7</v>
      </c>
      <c r="G1695" s="11" t="n">
        <v>38</v>
      </c>
      <c r="H1695" s="6" t="n">
        <v>32</v>
      </c>
      <c r="I1695" s="6" t="n">
        <v>328</v>
      </c>
      <c r="J1695" s="5" t="inlineStr">
        <is>
          <t>NY</t>
        </is>
      </c>
      <c r="K1695" s="5" t="inlineStr">
        <is>
          <t>SFR</t>
        </is>
      </c>
      <c r="L1695" s="5" t="inlineStr">
        <is>
          <t>Meridian Home Loans</t>
        </is>
      </c>
      <c r="M1695" s="5" t="inlineStr">
        <is>
          <t>Pier Asset Mgmt</t>
        </is>
      </c>
    </row>
    <row r="1696">
      <c r="A1696" s="7" t="inlineStr">
        <is>
          <t>L101691</t>
        </is>
      </c>
      <c r="B1696" s="8" t="n">
        <v>140030.44</v>
      </c>
      <c r="C1696" s="8" t="n">
        <v>122814.96</v>
      </c>
      <c r="D1696" s="27" t="n">
        <v>7.338</v>
      </c>
      <c r="E1696" s="10" t="n">
        <v>710</v>
      </c>
      <c r="F1696" s="12" t="n">
        <v>69.8</v>
      </c>
      <c r="G1696" s="12" t="n">
        <v>32.2</v>
      </c>
      <c r="H1696" s="10" t="n">
        <v>36</v>
      </c>
      <c r="I1696" s="10" t="n">
        <v>144</v>
      </c>
      <c r="J1696" s="7" t="inlineStr">
        <is>
          <t>GA</t>
        </is>
      </c>
      <c r="K1696" s="7" t="inlineStr">
        <is>
          <t>2-4 Unit</t>
        </is>
      </c>
      <c r="L1696" s="7" t="inlineStr">
        <is>
          <t>Meridian Home Loans</t>
        </is>
      </c>
      <c r="M1696" s="7" t="inlineStr">
        <is>
          <t>Pier Asset Mgmt</t>
        </is>
      </c>
    </row>
    <row r="1697">
      <c r="A1697" s="5" t="inlineStr">
        <is>
          <t>L101692</t>
        </is>
      </c>
      <c r="B1697" s="16" t="n">
        <v>149689.41</v>
      </c>
      <c r="C1697" s="16" t="n">
        <v>148419.43</v>
      </c>
      <c r="D1697" s="26" t="n">
        <v>6.958</v>
      </c>
      <c r="E1697" s="6" t="n">
        <v>608</v>
      </c>
      <c r="F1697" s="11" t="n">
        <v>70.8</v>
      </c>
      <c r="G1697" s="11" t="n">
        <v>26.9</v>
      </c>
      <c r="H1697" s="6" t="n">
        <v>10</v>
      </c>
      <c r="I1697" s="6" t="n">
        <v>350</v>
      </c>
      <c r="J1697" s="5" t="inlineStr">
        <is>
          <t>GA</t>
        </is>
      </c>
      <c r="K1697" s="5" t="inlineStr">
        <is>
          <t>2-4 Unit</t>
        </is>
      </c>
      <c r="L1697" s="5" t="inlineStr">
        <is>
          <t>Meridian Home Loans</t>
        </is>
      </c>
      <c r="M1697" s="5" t="inlineStr">
        <is>
          <t>Pier Asset Mgmt</t>
        </is>
      </c>
    </row>
    <row r="1698">
      <c r="A1698" s="7" t="inlineStr">
        <is>
          <t>L101693</t>
        </is>
      </c>
      <c r="B1698" s="8" t="n">
        <v>201560.1</v>
      </c>
      <c r="C1698" s="8" t="n">
        <v>182423.49</v>
      </c>
      <c r="D1698" s="27" t="n">
        <v>8.569000000000001</v>
      </c>
      <c r="E1698" s="10" t="n">
        <v>642</v>
      </c>
      <c r="F1698" s="12" t="n">
        <v>91.2</v>
      </c>
      <c r="G1698" s="12" t="n">
        <v>41.9</v>
      </c>
      <c r="H1698" s="10" t="n">
        <v>31</v>
      </c>
      <c r="I1698" s="10" t="n">
        <v>149</v>
      </c>
      <c r="J1698" s="7" t="inlineStr">
        <is>
          <t>IL</t>
        </is>
      </c>
      <c r="K1698" s="7" t="inlineStr">
        <is>
          <t>Condo</t>
        </is>
      </c>
      <c r="L1698" s="7" t="inlineStr">
        <is>
          <t>Highline Capital</t>
        </is>
      </c>
      <c r="M1698" s="7" t="inlineStr">
        <is>
          <t>Pier Asset Mgmt</t>
        </is>
      </c>
    </row>
    <row r="1699">
      <c r="A1699" s="5" t="inlineStr">
        <is>
          <t>L101694</t>
        </is>
      </c>
      <c r="B1699" s="16" t="n">
        <v>156816.09</v>
      </c>
      <c r="C1699" s="16" t="n">
        <v>128085.99</v>
      </c>
      <c r="D1699" s="26" t="n">
        <v>5.871</v>
      </c>
      <c r="E1699" s="6" t="n">
        <v>786</v>
      </c>
      <c r="F1699" s="11" t="n">
        <v>81.90000000000001</v>
      </c>
      <c r="G1699" s="11" t="n">
        <v>42.5</v>
      </c>
      <c r="H1699" s="6" t="n">
        <v>47</v>
      </c>
      <c r="I1699" s="6" t="n">
        <v>133</v>
      </c>
      <c r="J1699" s="5" t="inlineStr">
        <is>
          <t>FL</t>
        </is>
      </c>
      <c r="K1699" s="5" t="inlineStr">
        <is>
          <t>SFR</t>
        </is>
      </c>
      <c r="L1699" s="5" t="inlineStr">
        <is>
          <t>Coastal Mortgage Co</t>
        </is>
      </c>
      <c r="M1699" s="5" t="inlineStr">
        <is>
          <t>Pier Asset Mgmt</t>
        </is>
      </c>
    </row>
    <row r="1700">
      <c r="A1700" s="7" t="inlineStr">
        <is>
          <t>L101695</t>
        </is>
      </c>
      <c r="B1700" s="8" t="n">
        <v>280288.36</v>
      </c>
      <c r="C1700" s="8" t="n">
        <v>271577.2</v>
      </c>
      <c r="D1700" s="27" t="n">
        <v>6.758</v>
      </c>
      <c r="E1700" s="10" t="n">
        <v>672</v>
      </c>
      <c r="F1700" s="12" t="n">
        <v>97</v>
      </c>
      <c r="G1700" s="12" t="n">
        <v>43.6</v>
      </c>
      <c r="H1700" s="10" t="n">
        <v>33</v>
      </c>
      <c r="I1700" s="10" t="n">
        <v>327</v>
      </c>
      <c r="J1700" s="7" t="inlineStr">
        <is>
          <t>TX</t>
        </is>
      </c>
      <c r="K1700" s="7" t="inlineStr">
        <is>
          <t>SFR</t>
        </is>
      </c>
      <c r="L1700" s="7" t="inlineStr">
        <is>
          <t>Coastal Mortgage Co</t>
        </is>
      </c>
      <c r="M1700" s="7" t="inlineStr">
        <is>
          <t>Northgate Servicing</t>
        </is>
      </c>
    </row>
    <row r="1701">
      <c r="A1701" s="5" t="inlineStr">
        <is>
          <t>L101696</t>
        </is>
      </c>
      <c r="B1701" s="16" t="n">
        <v>206278.22</v>
      </c>
      <c r="C1701" s="16" t="n">
        <v>198696.4</v>
      </c>
      <c r="D1701" s="26" t="n">
        <v>6.006</v>
      </c>
      <c r="E1701" s="6" t="n">
        <v>677</v>
      </c>
      <c r="F1701" s="11" t="n">
        <v>77</v>
      </c>
      <c r="G1701" s="11" t="n">
        <v>31.1</v>
      </c>
      <c r="H1701" s="6" t="n">
        <v>34</v>
      </c>
      <c r="I1701" s="6" t="n">
        <v>326</v>
      </c>
      <c r="J1701" s="5" t="inlineStr">
        <is>
          <t>NC</t>
        </is>
      </c>
      <c r="K1701" s="5" t="inlineStr">
        <is>
          <t>SFR</t>
        </is>
      </c>
      <c r="L1701" s="5" t="inlineStr">
        <is>
          <t>Apex Funding</t>
        </is>
      </c>
      <c r="M1701" s="5" t="inlineStr">
        <is>
          <t>Pier Asset Mgmt</t>
        </is>
      </c>
    </row>
    <row r="1702">
      <c r="A1702" s="7" t="inlineStr">
        <is>
          <t>L101697</t>
        </is>
      </c>
      <c r="B1702" s="8" t="n">
        <v>557441.1899999999</v>
      </c>
      <c r="C1702" s="8" t="n">
        <v>552982.04</v>
      </c>
      <c r="D1702" s="27" t="n">
        <v>7.261</v>
      </c>
      <c r="E1702" s="10" t="n">
        <v>706</v>
      </c>
      <c r="F1702" s="12" t="n">
        <v>69.2</v>
      </c>
      <c r="G1702" s="12" t="n">
        <v>45.4</v>
      </c>
      <c r="H1702" s="10" t="n">
        <v>10</v>
      </c>
      <c r="I1702" s="10" t="n">
        <v>350</v>
      </c>
      <c r="J1702" s="7" t="inlineStr">
        <is>
          <t>NY</t>
        </is>
      </c>
      <c r="K1702" s="7" t="inlineStr">
        <is>
          <t>SFR</t>
        </is>
      </c>
      <c r="L1702" s="7" t="inlineStr">
        <is>
          <t>Coastal Mortgage Co</t>
        </is>
      </c>
      <c r="M1702" s="7" t="inlineStr">
        <is>
          <t>Pier Asset Mgmt</t>
        </is>
      </c>
    </row>
    <row r="1703">
      <c r="A1703" s="5" t="inlineStr">
        <is>
          <t>L101698</t>
        </is>
      </c>
      <c r="B1703" s="16" t="n">
        <v>132164.14</v>
      </c>
      <c r="C1703" s="16" t="n">
        <v>128172.77</v>
      </c>
      <c r="D1703" s="26" t="n">
        <v>6.345</v>
      </c>
      <c r="E1703" s="6" t="n">
        <v>657</v>
      </c>
      <c r="F1703" s="11" t="n">
        <v>66.7</v>
      </c>
      <c r="G1703" s="11" t="n">
        <v>32.1</v>
      </c>
      <c r="H1703" s="6" t="n">
        <v>30</v>
      </c>
      <c r="I1703" s="6" t="n">
        <v>330</v>
      </c>
      <c r="J1703" s="5" t="inlineStr">
        <is>
          <t>NC</t>
        </is>
      </c>
      <c r="K1703" s="5" t="inlineStr">
        <is>
          <t>SFR</t>
        </is>
      </c>
      <c r="L1703" s="5" t="inlineStr">
        <is>
          <t>Apex Funding</t>
        </is>
      </c>
      <c r="M1703" s="5" t="inlineStr">
        <is>
          <t>Northgate Servicing</t>
        </is>
      </c>
    </row>
    <row r="1704">
      <c r="A1704" s="7" t="inlineStr">
        <is>
          <t>L101699</t>
        </is>
      </c>
      <c r="B1704" s="8" t="n">
        <v>260738.07</v>
      </c>
      <c r="C1704" s="8" t="n">
        <v>254019.58</v>
      </c>
      <c r="D1704" s="27" t="n">
        <v>7.947</v>
      </c>
      <c r="E1704" s="10" t="n">
        <v>648</v>
      </c>
      <c r="F1704" s="12" t="n">
        <v>51.8</v>
      </c>
      <c r="G1704" s="12" t="n">
        <v>41.2</v>
      </c>
      <c r="H1704" s="10" t="n">
        <v>34</v>
      </c>
      <c r="I1704" s="10" t="n">
        <v>326</v>
      </c>
      <c r="J1704" s="7" t="inlineStr">
        <is>
          <t>NY</t>
        </is>
      </c>
      <c r="K1704" s="7" t="inlineStr">
        <is>
          <t>Multifamily</t>
        </is>
      </c>
      <c r="L1704" s="7" t="inlineStr">
        <is>
          <t>Highline Capital</t>
        </is>
      </c>
      <c r="M1704" s="7" t="inlineStr">
        <is>
          <t>Pier Asset Mgmt</t>
        </is>
      </c>
    </row>
    <row r="1705">
      <c r="A1705" s="5" t="inlineStr">
        <is>
          <t>L101700</t>
        </is>
      </c>
      <c r="B1705" s="16" t="n">
        <v>163606.01</v>
      </c>
      <c r="C1705" s="16" t="n">
        <v>162601.8</v>
      </c>
      <c r="D1705" s="26" t="n">
        <v>5.922</v>
      </c>
      <c r="E1705" s="6" t="n">
        <v>712</v>
      </c>
      <c r="F1705" s="11" t="n">
        <v>70.7</v>
      </c>
      <c r="G1705" s="11" t="n">
        <v>31.9</v>
      </c>
      <c r="H1705" s="6" t="n">
        <v>6</v>
      </c>
      <c r="I1705" s="6" t="n">
        <v>354</v>
      </c>
      <c r="J1705" s="5" t="inlineStr">
        <is>
          <t>OH</t>
        </is>
      </c>
      <c r="K1705" s="5" t="inlineStr">
        <is>
          <t>SFR</t>
        </is>
      </c>
      <c r="L1705" s="5" t="inlineStr">
        <is>
          <t>Coastal Mortgage Co</t>
        </is>
      </c>
      <c r="M1705" s="5" t="inlineStr">
        <is>
          <t>Summit Loan Servicing</t>
        </is>
      </c>
    </row>
    <row r="1706">
      <c r="A1706" s="7" t="inlineStr">
        <is>
          <t>L101701</t>
        </is>
      </c>
      <c r="B1706" s="8" t="n">
        <v>204292.8</v>
      </c>
      <c r="C1706" s="8" t="n">
        <v>201991.94</v>
      </c>
      <c r="D1706" s="27" t="n">
        <v>7.666</v>
      </c>
      <c r="E1706" s="10" t="n">
        <v>666</v>
      </c>
      <c r="F1706" s="12" t="n">
        <v>87.7</v>
      </c>
      <c r="G1706" s="12" t="n">
        <v>34.2</v>
      </c>
      <c r="H1706" s="10" t="n">
        <v>15</v>
      </c>
      <c r="I1706" s="10" t="n">
        <v>345</v>
      </c>
      <c r="J1706" s="7" t="inlineStr">
        <is>
          <t>AZ</t>
        </is>
      </c>
      <c r="K1706" s="7" t="inlineStr">
        <is>
          <t>SFR</t>
        </is>
      </c>
      <c r="L1706" s="7" t="inlineStr">
        <is>
          <t>Highline Capital</t>
        </is>
      </c>
      <c r="M1706" s="7" t="inlineStr">
        <is>
          <t>Pier Asset Mgmt</t>
        </is>
      </c>
    </row>
    <row r="1707">
      <c r="A1707" s="5" t="inlineStr">
        <is>
          <t>L101702</t>
        </is>
      </c>
      <c r="B1707" s="16" t="n">
        <v>255121.92</v>
      </c>
      <c r="C1707" s="16" t="n">
        <v>245083.78</v>
      </c>
      <c r="D1707" s="26" t="n">
        <v>6.934</v>
      </c>
      <c r="E1707" s="6" t="n">
        <v>674</v>
      </c>
      <c r="F1707" s="11" t="n">
        <v>81.2</v>
      </c>
      <c r="G1707" s="11" t="n">
        <v>16.6</v>
      </c>
      <c r="H1707" s="6" t="n">
        <v>42</v>
      </c>
      <c r="I1707" s="6" t="n">
        <v>318</v>
      </c>
      <c r="J1707" s="5" t="inlineStr">
        <is>
          <t>IL</t>
        </is>
      </c>
      <c r="K1707" s="5" t="inlineStr">
        <is>
          <t>2-4 Unit</t>
        </is>
      </c>
      <c r="L1707" s="5" t="inlineStr">
        <is>
          <t>Apex Funding</t>
        </is>
      </c>
      <c r="M1707" s="5" t="inlineStr">
        <is>
          <t>Pier Asset Mgmt</t>
        </is>
      </c>
    </row>
    <row r="1708">
      <c r="A1708" s="7" t="inlineStr">
        <is>
          <t>L101703</t>
        </is>
      </c>
      <c r="B1708" s="8" t="n">
        <v>107593.98</v>
      </c>
      <c r="C1708" s="8" t="n">
        <v>102285.9</v>
      </c>
      <c r="D1708" s="27" t="n">
        <v>6.371</v>
      </c>
      <c r="E1708" s="10" t="n">
        <v>672</v>
      </c>
      <c r="F1708" s="12" t="n">
        <v>74.2</v>
      </c>
      <c r="G1708" s="12" t="n">
        <v>33.6</v>
      </c>
      <c r="H1708" s="10" t="n">
        <v>47</v>
      </c>
      <c r="I1708" s="10" t="n">
        <v>313</v>
      </c>
      <c r="J1708" s="7" t="inlineStr">
        <is>
          <t>NY</t>
        </is>
      </c>
      <c r="K1708" s="7" t="inlineStr">
        <is>
          <t>SFR</t>
        </is>
      </c>
      <c r="L1708" s="7" t="inlineStr">
        <is>
          <t>Coastal Mortgage Co</t>
        </is>
      </c>
      <c r="M1708" s="7" t="inlineStr">
        <is>
          <t>Summit Loan Servicing</t>
        </is>
      </c>
    </row>
    <row r="1709">
      <c r="A1709" s="5" t="inlineStr">
        <is>
          <t>L101704</t>
        </is>
      </c>
      <c r="B1709" s="16" t="n">
        <v>263784.86</v>
      </c>
      <c r="C1709" s="16" t="n">
        <v>261749.16</v>
      </c>
      <c r="D1709" s="26" t="n">
        <v>6.888</v>
      </c>
      <c r="E1709" s="6" t="n">
        <v>744</v>
      </c>
      <c r="F1709" s="11" t="n">
        <v>62.1</v>
      </c>
      <c r="G1709" s="11" t="n">
        <v>36.7</v>
      </c>
      <c r="H1709" s="6" t="n">
        <v>9</v>
      </c>
      <c r="I1709" s="6" t="n">
        <v>351</v>
      </c>
      <c r="J1709" s="5" t="inlineStr">
        <is>
          <t>AZ</t>
        </is>
      </c>
      <c r="K1709" s="5" t="inlineStr">
        <is>
          <t>Condo</t>
        </is>
      </c>
      <c r="L1709" s="5" t="inlineStr">
        <is>
          <t>Highline Capital</t>
        </is>
      </c>
      <c r="M1709" s="5" t="inlineStr">
        <is>
          <t>Summit Loan Servicing</t>
        </is>
      </c>
    </row>
    <row r="1710">
      <c r="A1710" s="7" t="inlineStr">
        <is>
          <t>L101705</t>
        </is>
      </c>
      <c r="B1710" s="8" t="n">
        <v>472606.13</v>
      </c>
      <c r="C1710" s="8" t="n">
        <v>456584.48</v>
      </c>
      <c r="D1710" s="27" t="n">
        <v>6.635</v>
      </c>
      <c r="E1710" s="10" t="n">
        <v>702</v>
      </c>
      <c r="F1710" s="12" t="n">
        <v>76.7</v>
      </c>
      <c r="G1710" s="12" t="n">
        <v>32.7</v>
      </c>
      <c r="H1710" s="10" t="n">
        <v>35</v>
      </c>
      <c r="I1710" s="10" t="n">
        <v>325</v>
      </c>
      <c r="J1710" s="7" t="inlineStr">
        <is>
          <t>CA</t>
        </is>
      </c>
      <c r="K1710" s="7" t="inlineStr">
        <is>
          <t>SFR</t>
        </is>
      </c>
      <c r="L1710" s="7" t="inlineStr">
        <is>
          <t>Coastal Mortgage Co</t>
        </is>
      </c>
      <c r="M1710" s="7" t="inlineStr">
        <is>
          <t>Summit Loan Servicing</t>
        </is>
      </c>
    </row>
    <row r="1711">
      <c r="A1711" s="5" t="inlineStr">
        <is>
          <t>L101706</t>
        </is>
      </c>
      <c r="B1711" s="16" t="n">
        <v>207170.33</v>
      </c>
      <c r="C1711" s="16" t="n">
        <v>202575.2</v>
      </c>
      <c r="D1711" s="26" t="n">
        <v>6.72</v>
      </c>
      <c r="E1711" s="6" t="n">
        <v>705</v>
      </c>
      <c r="F1711" s="11" t="n">
        <v>86.2</v>
      </c>
      <c r="G1711" s="11" t="n">
        <v>50</v>
      </c>
      <c r="H1711" s="6" t="n">
        <v>24</v>
      </c>
      <c r="I1711" s="6" t="n">
        <v>336</v>
      </c>
      <c r="J1711" s="5" t="inlineStr">
        <is>
          <t>CA</t>
        </is>
      </c>
      <c r="K1711" s="5" t="inlineStr">
        <is>
          <t>SFR</t>
        </is>
      </c>
      <c r="L1711" s="5" t="inlineStr">
        <is>
          <t>Meridian Home Loans</t>
        </is>
      </c>
      <c r="M1711" s="5" t="inlineStr">
        <is>
          <t>Summit Loan Servicing</t>
        </is>
      </c>
    </row>
    <row r="1712">
      <c r="A1712" s="7" t="inlineStr">
        <is>
          <t>L101707</t>
        </is>
      </c>
      <c r="B1712" s="8" t="n">
        <v>265915.2</v>
      </c>
      <c r="C1712" s="8" t="n">
        <v>258280.95</v>
      </c>
      <c r="D1712" s="27" t="n">
        <v>6.214</v>
      </c>
      <c r="E1712" s="10" t="n">
        <v>748</v>
      </c>
      <c r="F1712" s="12" t="n">
        <v>79.2</v>
      </c>
      <c r="G1712" s="12" t="n">
        <v>26.7</v>
      </c>
      <c r="H1712" s="10" t="n">
        <v>28</v>
      </c>
      <c r="I1712" s="10" t="n">
        <v>332</v>
      </c>
      <c r="J1712" s="7" t="inlineStr">
        <is>
          <t>CA</t>
        </is>
      </c>
      <c r="K1712" s="7" t="inlineStr">
        <is>
          <t>SFR</t>
        </is>
      </c>
      <c r="L1712" s="7" t="inlineStr">
        <is>
          <t>Coastal Mortgage Co</t>
        </is>
      </c>
      <c r="M1712" s="7" t="inlineStr">
        <is>
          <t>Pier Asset Mgmt</t>
        </is>
      </c>
    </row>
    <row r="1713">
      <c r="A1713" s="5" t="inlineStr">
        <is>
          <t>L101708</t>
        </is>
      </c>
      <c r="B1713" s="16" t="n">
        <v>347570.43</v>
      </c>
      <c r="C1713" s="16" t="n">
        <v>337989.73</v>
      </c>
      <c r="D1713" s="26" t="n">
        <v>5.769</v>
      </c>
      <c r="E1713" s="6" t="n">
        <v>707</v>
      </c>
      <c r="F1713" s="11" t="n">
        <v>76</v>
      </c>
      <c r="G1713" s="11" t="n">
        <v>31.5</v>
      </c>
      <c r="H1713" s="6" t="n">
        <v>25</v>
      </c>
      <c r="I1713" s="6" t="n">
        <v>335</v>
      </c>
      <c r="J1713" s="5" t="inlineStr">
        <is>
          <t>NY</t>
        </is>
      </c>
      <c r="K1713" s="5" t="inlineStr">
        <is>
          <t>SFR</t>
        </is>
      </c>
      <c r="L1713" s="5" t="inlineStr">
        <is>
          <t>Highline Capital</t>
        </is>
      </c>
      <c r="M1713" s="5" t="inlineStr">
        <is>
          <t>Northgate Servicing</t>
        </is>
      </c>
    </row>
    <row r="1714">
      <c r="A1714" s="7" t="inlineStr">
        <is>
          <t>L101709</t>
        </is>
      </c>
      <c r="B1714" s="8" t="n">
        <v>229260.98</v>
      </c>
      <c r="C1714" s="8" t="n">
        <v>219079.48</v>
      </c>
      <c r="D1714" s="27" t="n">
        <v>6.098</v>
      </c>
      <c r="E1714" s="10" t="n">
        <v>700</v>
      </c>
      <c r="F1714" s="12" t="n">
        <v>64.40000000000001</v>
      </c>
      <c r="G1714" s="12" t="n">
        <v>28.8</v>
      </c>
      <c r="H1714" s="10" t="n">
        <v>41</v>
      </c>
      <c r="I1714" s="10" t="n">
        <v>319</v>
      </c>
      <c r="J1714" s="7" t="inlineStr">
        <is>
          <t>IL</t>
        </is>
      </c>
      <c r="K1714" s="7" t="inlineStr">
        <is>
          <t>Condo</t>
        </is>
      </c>
      <c r="L1714" s="7" t="inlineStr">
        <is>
          <t>Apex Funding</t>
        </is>
      </c>
      <c r="M1714" s="7" t="inlineStr">
        <is>
          <t>Northgate Servicing</t>
        </is>
      </c>
    </row>
    <row r="1715">
      <c r="A1715" s="5" t="inlineStr">
        <is>
          <t>L101710</t>
        </is>
      </c>
      <c r="B1715" s="16" t="n">
        <v>198127.08</v>
      </c>
      <c r="C1715" s="16" t="n">
        <v>192807.27</v>
      </c>
      <c r="D1715" s="26" t="n">
        <v>4.885</v>
      </c>
      <c r="E1715" s="6" t="n">
        <v>741</v>
      </c>
      <c r="F1715" s="11" t="n">
        <v>84.40000000000001</v>
      </c>
      <c r="G1715" s="11" t="n">
        <v>31.5</v>
      </c>
      <c r="H1715" s="6" t="n">
        <v>21</v>
      </c>
      <c r="I1715" s="6" t="n">
        <v>339</v>
      </c>
      <c r="J1715" s="5" t="inlineStr">
        <is>
          <t>FL</t>
        </is>
      </c>
      <c r="K1715" s="5" t="inlineStr">
        <is>
          <t>SFR</t>
        </is>
      </c>
      <c r="L1715" s="5" t="inlineStr">
        <is>
          <t>Apex Funding</t>
        </is>
      </c>
      <c r="M1715" s="5" t="inlineStr">
        <is>
          <t>Pier Asset Mgmt</t>
        </is>
      </c>
    </row>
    <row r="1716">
      <c r="A1716" s="7" t="inlineStr">
        <is>
          <t>L101711</t>
        </is>
      </c>
      <c r="B1716" s="8" t="n">
        <v>109479.46</v>
      </c>
      <c r="C1716" s="8" t="n">
        <v>106837.42</v>
      </c>
      <c r="D1716" s="27" t="n">
        <v>7.158</v>
      </c>
      <c r="E1716" s="10" t="n">
        <v>752</v>
      </c>
      <c r="F1716" s="12" t="n">
        <v>36.4</v>
      </c>
      <c r="G1716" s="12" t="n">
        <v>44.3</v>
      </c>
      <c r="H1716" s="10" t="n">
        <v>28</v>
      </c>
      <c r="I1716" s="10" t="n">
        <v>332</v>
      </c>
      <c r="J1716" s="7" t="inlineStr">
        <is>
          <t>TX</t>
        </is>
      </c>
      <c r="K1716" s="7" t="inlineStr">
        <is>
          <t>SFR</t>
        </is>
      </c>
      <c r="L1716" s="7" t="inlineStr">
        <is>
          <t>Apex Funding</t>
        </is>
      </c>
      <c r="M1716" s="7" t="inlineStr">
        <is>
          <t>Northgate Servicing</t>
        </is>
      </c>
    </row>
    <row r="1717">
      <c r="A1717" s="5" t="inlineStr">
        <is>
          <t>L101712</t>
        </is>
      </c>
      <c r="B1717" s="16" t="n">
        <v>303867.42</v>
      </c>
      <c r="C1717" s="16" t="n">
        <v>292001.87</v>
      </c>
      <c r="D1717" s="26" t="n">
        <v>5.288</v>
      </c>
      <c r="E1717" s="6" t="n">
        <v>707</v>
      </c>
      <c r="F1717" s="11" t="n">
        <v>78.59999999999999</v>
      </c>
      <c r="G1717" s="11" t="n">
        <v>47.8</v>
      </c>
      <c r="H1717" s="6" t="n">
        <v>32</v>
      </c>
      <c r="I1717" s="6" t="n">
        <v>328</v>
      </c>
      <c r="J1717" s="5" t="inlineStr">
        <is>
          <t>NY</t>
        </is>
      </c>
      <c r="K1717" s="5" t="inlineStr">
        <is>
          <t>SFR</t>
        </is>
      </c>
      <c r="L1717" s="5" t="inlineStr">
        <is>
          <t>Meridian Home Loans</t>
        </is>
      </c>
      <c r="M1717" s="5" t="inlineStr">
        <is>
          <t>Pier Asset Mgmt</t>
        </is>
      </c>
    </row>
    <row r="1718">
      <c r="A1718" s="7" t="inlineStr">
        <is>
          <t>L101713</t>
        </is>
      </c>
      <c r="B1718" s="8" t="n">
        <v>233372.47</v>
      </c>
      <c r="C1718" s="8" t="n">
        <v>227172.59</v>
      </c>
      <c r="D1718" s="27" t="n">
        <v>6.204</v>
      </c>
      <c r="E1718" s="10" t="n">
        <v>719</v>
      </c>
      <c r="F1718" s="12" t="n">
        <v>97</v>
      </c>
      <c r="G1718" s="12" t="n">
        <v>30.4</v>
      </c>
      <c r="H1718" s="10" t="n">
        <v>26</v>
      </c>
      <c r="I1718" s="10" t="n">
        <v>334</v>
      </c>
      <c r="J1718" s="7" t="inlineStr">
        <is>
          <t>IL</t>
        </is>
      </c>
      <c r="K1718" s="7" t="inlineStr">
        <is>
          <t>SFR</t>
        </is>
      </c>
      <c r="L1718" s="7" t="inlineStr">
        <is>
          <t>Meridian Home Loans</t>
        </is>
      </c>
      <c r="M1718" s="7" t="inlineStr">
        <is>
          <t>Pier Asset Mgmt</t>
        </is>
      </c>
    </row>
    <row r="1719">
      <c r="A1719" s="5" t="inlineStr">
        <is>
          <t>L101714</t>
        </is>
      </c>
      <c r="B1719" s="16" t="n">
        <v>170341.52</v>
      </c>
      <c r="C1719" s="16" t="n">
        <v>163697.85</v>
      </c>
      <c r="D1719" s="26" t="n">
        <v>6.983</v>
      </c>
      <c r="E1719" s="6" t="n">
        <v>672</v>
      </c>
      <c r="F1719" s="11" t="n">
        <v>55.9</v>
      </c>
      <c r="G1719" s="11" t="n">
        <v>30.2</v>
      </c>
      <c r="H1719" s="6" t="n">
        <v>42</v>
      </c>
      <c r="I1719" s="6" t="n">
        <v>318</v>
      </c>
      <c r="J1719" s="5" t="inlineStr">
        <is>
          <t>FL</t>
        </is>
      </c>
      <c r="K1719" s="5" t="inlineStr">
        <is>
          <t>SFR</t>
        </is>
      </c>
      <c r="L1719" s="5" t="inlineStr">
        <is>
          <t>Coastal Mortgage Co</t>
        </is>
      </c>
      <c r="M1719" s="5" t="inlineStr">
        <is>
          <t>Summit Loan Servicing</t>
        </is>
      </c>
    </row>
    <row r="1720">
      <c r="A1720" s="7" t="inlineStr">
        <is>
          <t>L101715</t>
        </is>
      </c>
      <c r="B1720" s="8" t="n">
        <v>253801.78</v>
      </c>
      <c r="C1720" s="8" t="n">
        <v>251299.68</v>
      </c>
      <c r="D1720" s="27" t="n">
        <v>7.155</v>
      </c>
      <c r="E1720" s="10" t="n">
        <v>668</v>
      </c>
      <c r="F1720" s="12" t="n">
        <v>71.09999999999999</v>
      </c>
      <c r="G1720" s="12" t="n">
        <v>26.7</v>
      </c>
      <c r="H1720" s="10" t="n">
        <v>12</v>
      </c>
      <c r="I1720" s="10" t="n">
        <v>348</v>
      </c>
      <c r="J1720" s="7" t="inlineStr">
        <is>
          <t>GA</t>
        </is>
      </c>
      <c r="K1720" s="7" t="inlineStr">
        <is>
          <t>Condo</t>
        </is>
      </c>
      <c r="L1720" s="7" t="inlineStr">
        <is>
          <t>Highline Capital</t>
        </is>
      </c>
      <c r="M1720" s="7" t="inlineStr">
        <is>
          <t>Northgate Servicing</t>
        </is>
      </c>
    </row>
    <row r="1721">
      <c r="A1721" s="5" t="inlineStr">
        <is>
          <t>L101716</t>
        </is>
      </c>
      <c r="B1721" s="16" t="n">
        <v>197938.54</v>
      </c>
      <c r="C1721" s="16" t="n">
        <v>185804.68</v>
      </c>
      <c r="D1721" s="26" t="n">
        <v>4.803</v>
      </c>
      <c r="E1721" s="6" t="n">
        <v>757</v>
      </c>
      <c r="F1721" s="11" t="n">
        <v>73.90000000000001</v>
      </c>
      <c r="G1721" s="11" t="n">
        <v>46.5</v>
      </c>
      <c r="H1721" s="6" t="n">
        <v>45</v>
      </c>
      <c r="I1721" s="6" t="n">
        <v>315</v>
      </c>
      <c r="J1721" s="5" t="inlineStr">
        <is>
          <t>NY</t>
        </is>
      </c>
      <c r="K1721" s="5" t="inlineStr">
        <is>
          <t>SFR</t>
        </is>
      </c>
      <c r="L1721" s="5" t="inlineStr">
        <is>
          <t>Meridian Home Loans</t>
        </is>
      </c>
      <c r="M1721" s="5" t="inlineStr">
        <is>
          <t>Northgate Servicing</t>
        </is>
      </c>
    </row>
    <row r="1722">
      <c r="A1722" s="7" t="inlineStr">
        <is>
          <t>L101717</t>
        </is>
      </c>
      <c r="B1722" s="8" t="n">
        <v>201803.73</v>
      </c>
      <c r="C1722" s="8" t="n">
        <v>178332.33</v>
      </c>
      <c r="D1722" s="27" t="n">
        <v>6.317</v>
      </c>
      <c r="E1722" s="10" t="n">
        <v>739</v>
      </c>
      <c r="F1722" s="12" t="n">
        <v>68.40000000000001</v>
      </c>
      <c r="G1722" s="12" t="n">
        <v>45</v>
      </c>
      <c r="H1722" s="10" t="n">
        <v>32</v>
      </c>
      <c r="I1722" s="10" t="n">
        <v>148</v>
      </c>
      <c r="J1722" s="7" t="inlineStr">
        <is>
          <t>WA</t>
        </is>
      </c>
      <c r="K1722" s="7" t="inlineStr">
        <is>
          <t>SFR</t>
        </is>
      </c>
      <c r="L1722" s="7" t="inlineStr">
        <is>
          <t>Apex Funding</t>
        </is>
      </c>
      <c r="M1722" s="7" t="inlineStr">
        <is>
          <t>Northgate Servicing</t>
        </is>
      </c>
    </row>
    <row r="1723">
      <c r="A1723" s="5" t="inlineStr">
        <is>
          <t>L101718</t>
        </is>
      </c>
      <c r="B1723" s="16" t="n">
        <v>300199.31</v>
      </c>
      <c r="C1723" s="16" t="n">
        <v>286825.09</v>
      </c>
      <c r="D1723" s="26" t="n">
        <v>6.814</v>
      </c>
      <c r="E1723" s="6" t="n">
        <v>740</v>
      </c>
      <c r="F1723" s="11" t="n">
        <v>86.40000000000001</v>
      </c>
      <c r="G1723" s="11" t="n">
        <v>35.2</v>
      </c>
      <c r="H1723" s="6" t="n">
        <v>46</v>
      </c>
      <c r="I1723" s="6" t="n">
        <v>314</v>
      </c>
      <c r="J1723" s="5" t="inlineStr">
        <is>
          <t>WA</t>
        </is>
      </c>
      <c r="K1723" s="5" t="inlineStr">
        <is>
          <t>SFR</t>
        </is>
      </c>
      <c r="L1723" s="5" t="inlineStr">
        <is>
          <t>Highline Capital</t>
        </is>
      </c>
      <c r="M1723" s="5" t="inlineStr">
        <is>
          <t>Pier Asset Mgmt</t>
        </is>
      </c>
    </row>
    <row r="1724">
      <c r="A1724" s="7" t="inlineStr">
        <is>
          <t>L101719</t>
        </is>
      </c>
      <c r="B1724" s="8" t="n">
        <v>151989.41</v>
      </c>
      <c r="C1724" s="8" t="n">
        <v>149373.17</v>
      </c>
      <c r="D1724" s="27" t="n">
        <v>6.447</v>
      </c>
      <c r="E1724" s="10" t="n">
        <v>730</v>
      </c>
      <c r="F1724" s="12" t="n">
        <v>79.7</v>
      </c>
      <c r="G1724" s="12" t="n">
        <v>24.8</v>
      </c>
      <c r="H1724" s="10" t="n">
        <v>18</v>
      </c>
      <c r="I1724" s="10" t="n">
        <v>342</v>
      </c>
      <c r="J1724" s="7" t="inlineStr">
        <is>
          <t>NC</t>
        </is>
      </c>
      <c r="K1724" s="7" t="inlineStr">
        <is>
          <t>SFR</t>
        </is>
      </c>
      <c r="L1724" s="7" t="inlineStr">
        <is>
          <t>Meridian Home Loans</t>
        </is>
      </c>
      <c r="M1724" s="7" t="inlineStr">
        <is>
          <t>Northgate Servicing</t>
        </is>
      </c>
    </row>
    <row r="1725">
      <c r="A1725" s="5" t="inlineStr">
        <is>
          <t>L101720</t>
        </is>
      </c>
      <c r="B1725" s="16" t="n">
        <v>350305.3</v>
      </c>
      <c r="C1725" s="16" t="n">
        <v>344029.55</v>
      </c>
      <c r="D1725" s="26" t="n">
        <v>7.61</v>
      </c>
      <c r="E1725" s="6" t="n">
        <v>718</v>
      </c>
      <c r="F1725" s="11" t="n">
        <v>75.8</v>
      </c>
      <c r="G1725" s="11" t="n">
        <v>25.5</v>
      </c>
      <c r="H1725" s="6" t="n">
        <v>23</v>
      </c>
      <c r="I1725" s="6" t="n">
        <v>337</v>
      </c>
      <c r="J1725" s="5" t="inlineStr">
        <is>
          <t>GA</t>
        </is>
      </c>
      <c r="K1725" s="5" t="inlineStr">
        <is>
          <t>SFR</t>
        </is>
      </c>
      <c r="L1725" s="5" t="inlineStr">
        <is>
          <t>Meridian Home Loans</t>
        </is>
      </c>
      <c r="M1725" s="5" t="inlineStr">
        <is>
          <t>Summit Loan Servicing</t>
        </is>
      </c>
    </row>
    <row r="1726">
      <c r="A1726" s="7" t="inlineStr">
        <is>
          <t>L101721</t>
        </is>
      </c>
      <c r="B1726" s="8" t="n">
        <v>148867.19</v>
      </c>
      <c r="C1726" s="8" t="n">
        <v>148390.65</v>
      </c>
      <c r="D1726" s="27" t="n">
        <v>5.66</v>
      </c>
      <c r="E1726" s="10" t="n">
        <v>753</v>
      </c>
      <c r="F1726" s="12" t="n">
        <v>83.59999999999999</v>
      </c>
      <c r="G1726" s="12" t="n">
        <v>37.4</v>
      </c>
      <c r="H1726" s="10" t="n">
        <v>3</v>
      </c>
      <c r="I1726" s="10" t="n">
        <v>357</v>
      </c>
      <c r="J1726" s="7" t="inlineStr">
        <is>
          <t>CA</t>
        </is>
      </c>
      <c r="K1726" s="7" t="inlineStr">
        <is>
          <t>2-4 Unit</t>
        </is>
      </c>
      <c r="L1726" s="7" t="inlineStr">
        <is>
          <t>Highline Capital</t>
        </is>
      </c>
      <c r="M1726" s="7" t="inlineStr">
        <is>
          <t>Northgate Servicing</t>
        </is>
      </c>
    </row>
    <row r="1727">
      <c r="A1727" s="5" t="inlineStr">
        <is>
          <t>L101722</t>
        </is>
      </c>
      <c r="B1727" s="16" t="n">
        <v>192539.1</v>
      </c>
      <c r="C1727" s="16" t="n">
        <v>180544.83</v>
      </c>
      <c r="D1727" s="26" t="n">
        <v>4.556</v>
      </c>
      <c r="E1727" s="6" t="n">
        <v>766</v>
      </c>
      <c r="F1727" s="11" t="n">
        <v>74.2</v>
      </c>
      <c r="G1727" s="11" t="n">
        <v>40.4</v>
      </c>
      <c r="H1727" s="6" t="n">
        <v>44</v>
      </c>
      <c r="I1727" s="6" t="n">
        <v>316</v>
      </c>
      <c r="J1727" s="5" t="inlineStr">
        <is>
          <t>NC</t>
        </is>
      </c>
      <c r="K1727" s="5" t="inlineStr">
        <is>
          <t>Condo</t>
        </is>
      </c>
      <c r="L1727" s="5" t="inlineStr">
        <is>
          <t>Meridian Home Loans</t>
        </is>
      </c>
      <c r="M1727" s="5" t="inlineStr">
        <is>
          <t>Northgate Servicing</t>
        </is>
      </c>
    </row>
    <row r="1728">
      <c r="A1728" s="7" t="inlineStr">
        <is>
          <t>L101723</t>
        </is>
      </c>
      <c r="B1728" s="8" t="n">
        <v>475932.43</v>
      </c>
      <c r="C1728" s="8" t="n">
        <v>459297.31</v>
      </c>
      <c r="D1728" s="27" t="n">
        <v>7.129</v>
      </c>
      <c r="E1728" s="10" t="n">
        <v>765</v>
      </c>
      <c r="F1728" s="12" t="n">
        <v>97</v>
      </c>
      <c r="G1728" s="12" t="n">
        <v>19.5</v>
      </c>
      <c r="H1728" s="10" t="n">
        <v>39</v>
      </c>
      <c r="I1728" s="10" t="n">
        <v>321</v>
      </c>
      <c r="J1728" s="7" t="inlineStr">
        <is>
          <t>NY</t>
        </is>
      </c>
      <c r="K1728" s="7" t="inlineStr">
        <is>
          <t>Condo</t>
        </is>
      </c>
      <c r="L1728" s="7" t="inlineStr">
        <is>
          <t>Apex Funding</t>
        </is>
      </c>
      <c r="M1728" s="7" t="inlineStr">
        <is>
          <t>Summit Loan Servicing</t>
        </is>
      </c>
    </row>
    <row r="1729">
      <c r="A1729" s="5" t="inlineStr">
        <is>
          <t>L101724</t>
        </is>
      </c>
      <c r="B1729" s="16" t="n">
        <v>360257.44</v>
      </c>
      <c r="C1729" s="16" t="n">
        <v>354989.5</v>
      </c>
      <c r="D1729" s="26" t="n">
        <v>5.917</v>
      </c>
      <c r="E1729" s="6" t="n">
        <v>709</v>
      </c>
      <c r="F1729" s="11" t="n">
        <v>75.8</v>
      </c>
      <c r="G1729" s="11" t="n">
        <v>33.4</v>
      </c>
      <c r="H1729" s="6" t="n">
        <v>14</v>
      </c>
      <c r="I1729" s="6" t="n">
        <v>346</v>
      </c>
      <c r="J1729" s="5" t="inlineStr">
        <is>
          <t>FL</t>
        </is>
      </c>
      <c r="K1729" s="5" t="inlineStr">
        <is>
          <t>SFR</t>
        </is>
      </c>
      <c r="L1729" s="5" t="inlineStr">
        <is>
          <t>Highline Capital</t>
        </is>
      </c>
      <c r="M1729" s="5" t="inlineStr">
        <is>
          <t>Pier Asset Mgmt</t>
        </is>
      </c>
    </row>
    <row r="1730">
      <c r="A1730" s="7" t="inlineStr">
        <is>
          <t>L101725</t>
        </is>
      </c>
      <c r="B1730" s="8" t="n">
        <v>251239.36</v>
      </c>
      <c r="C1730" s="8" t="n">
        <v>250298.9</v>
      </c>
      <c r="D1730" s="27" t="n">
        <v>4.817</v>
      </c>
      <c r="E1730" s="10" t="n">
        <v>791</v>
      </c>
      <c r="F1730" s="12" t="n">
        <v>76.3</v>
      </c>
      <c r="G1730" s="12" t="n">
        <v>48.9</v>
      </c>
      <c r="H1730" s="10" t="n">
        <v>3</v>
      </c>
      <c r="I1730" s="10" t="n">
        <v>357</v>
      </c>
      <c r="J1730" s="7" t="inlineStr">
        <is>
          <t>AZ</t>
        </is>
      </c>
      <c r="K1730" s="7" t="inlineStr">
        <is>
          <t>SFR</t>
        </is>
      </c>
      <c r="L1730" s="7" t="inlineStr">
        <is>
          <t>Coastal Mortgage Co</t>
        </is>
      </c>
      <c r="M1730" s="7" t="inlineStr">
        <is>
          <t>Summit Loan Servicing</t>
        </is>
      </c>
    </row>
    <row r="1731">
      <c r="A1731" s="5" t="inlineStr">
        <is>
          <t>L101726</t>
        </is>
      </c>
      <c r="B1731" s="16" t="n">
        <v>174698.07</v>
      </c>
      <c r="C1731" s="16" t="n">
        <v>153596.62</v>
      </c>
      <c r="D1731" s="26" t="n">
        <v>6.257</v>
      </c>
      <c r="E1731" s="6" t="n">
        <v>728</v>
      </c>
      <c r="F1731" s="11" t="n">
        <v>53.5</v>
      </c>
      <c r="G1731" s="11" t="n">
        <v>34.3</v>
      </c>
      <c r="H1731" s="6" t="n">
        <v>33</v>
      </c>
      <c r="I1731" s="6" t="n">
        <v>147</v>
      </c>
      <c r="J1731" s="5" t="inlineStr">
        <is>
          <t>CA</t>
        </is>
      </c>
      <c r="K1731" s="5" t="inlineStr">
        <is>
          <t>Condo</t>
        </is>
      </c>
      <c r="L1731" s="5" t="inlineStr">
        <is>
          <t>Coastal Mortgage Co</t>
        </is>
      </c>
      <c r="M1731" s="5" t="inlineStr">
        <is>
          <t>Summit Loan Servicing</t>
        </is>
      </c>
    </row>
    <row r="1732">
      <c r="A1732" s="7" t="inlineStr">
        <is>
          <t>L101727</t>
        </is>
      </c>
      <c r="B1732" s="8" t="n">
        <v>201743.97</v>
      </c>
      <c r="C1732" s="8" t="n">
        <v>196466.21</v>
      </c>
      <c r="D1732" s="27" t="n">
        <v>7.508</v>
      </c>
      <c r="E1732" s="10" t="n">
        <v>750</v>
      </c>
      <c r="F1732" s="12" t="n">
        <v>67.5</v>
      </c>
      <c r="G1732" s="12" t="n">
        <v>47.9</v>
      </c>
      <c r="H1732" s="10" t="n">
        <v>32</v>
      </c>
      <c r="I1732" s="10" t="n">
        <v>328</v>
      </c>
      <c r="J1732" s="7" t="inlineStr">
        <is>
          <t>FL</t>
        </is>
      </c>
      <c r="K1732" s="7" t="inlineStr">
        <is>
          <t>SFR</t>
        </is>
      </c>
      <c r="L1732" s="7" t="inlineStr">
        <is>
          <t>Apex Funding</t>
        </is>
      </c>
      <c r="M1732" s="7" t="inlineStr">
        <is>
          <t>Northgate Servicing</t>
        </is>
      </c>
    </row>
    <row r="1733">
      <c r="A1733" s="5" t="inlineStr">
        <is>
          <t>L101728</t>
        </is>
      </c>
      <c r="B1733" s="16" t="n">
        <v>249109.13</v>
      </c>
      <c r="C1733" s="16" t="n">
        <v>241595.03</v>
      </c>
      <c r="D1733" s="26" t="n">
        <v>5.263</v>
      </c>
      <c r="E1733" s="6" t="n">
        <v>731</v>
      </c>
      <c r="F1733" s="11" t="n">
        <v>87.8</v>
      </c>
      <c r="G1733" s="11" t="n">
        <v>41.2</v>
      </c>
      <c r="H1733" s="6" t="n">
        <v>25</v>
      </c>
      <c r="I1733" s="6" t="n">
        <v>335</v>
      </c>
      <c r="J1733" s="5" t="inlineStr">
        <is>
          <t>AZ</t>
        </is>
      </c>
      <c r="K1733" s="5" t="inlineStr">
        <is>
          <t>SFR</t>
        </is>
      </c>
      <c r="L1733" s="5" t="inlineStr">
        <is>
          <t>Apex Funding</t>
        </is>
      </c>
      <c r="M1733" s="5" t="inlineStr">
        <is>
          <t>Summit Loan Servicing</t>
        </is>
      </c>
    </row>
    <row r="1734">
      <c r="A1734" s="7" t="inlineStr">
        <is>
          <t>L101729</t>
        </is>
      </c>
      <c r="B1734" s="8" t="n">
        <v>246011.39</v>
      </c>
      <c r="C1734" s="8" t="n">
        <v>244789.64</v>
      </c>
      <c r="D1734" s="27" t="n">
        <v>8.502000000000001</v>
      </c>
      <c r="E1734" s="10" t="n">
        <v>729</v>
      </c>
      <c r="F1734" s="12" t="n">
        <v>58</v>
      </c>
      <c r="G1734" s="12" t="n">
        <v>27.3</v>
      </c>
      <c r="H1734" s="10" t="n">
        <v>8</v>
      </c>
      <c r="I1734" s="10" t="n">
        <v>352</v>
      </c>
      <c r="J1734" s="7" t="inlineStr">
        <is>
          <t>WA</t>
        </is>
      </c>
      <c r="K1734" s="7" t="inlineStr">
        <is>
          <t>Multifamily</t>
        </is>
      </c>
      <c r="L1734" s="7" t="inlineStr">
        <is>
          <t>Highline Capital</t>
        </is>
      </c>
      <c r="M1734" s="7" t="inlineStr">
        <is>
          <t>Pier Asset Mgmt</t>
        </is>
      </c>
    </row>
    <row r="1735">
      <c r="A1735" s="5" t="inlineStr">
        <is>
          <t>L101730</t>
        </is>
      </c>
      <c r="B1735" s="16" t="n">
        <v>235200.87</v>
      </c>
      <c r="C1735" s="16" t="n">
        <v>222989.28</v>
      </c>
      <c r="D1735" s="26" t="n">
        <v>5.646</v>
      </c>
      <c r="E1735" s="6" t="n">
        <v>675</v>
      </c>
      <c r="F1735" s="11" t="n">
        <v>48.1</v>
      </c>
      <c r="G1735" s="11" t="n">
        <v>33.7</v>
      </c>
      <c r="H1735" s="6" t="n">
        <v>44</v>
      </c>
      <c r="I1735" s="6" t="n">
        <v>316</v>
      </c>
      <c r="J1735" s="5" t="inlineStr">
        <is>
          <t>GA</t>
        </is>
      </c>
      <c r="K1735" s="5" t="inlineStr">
        <is>
          <t>SFR</t>
        </is>
      </c>
      <c r="L1735" s="5" t="inlineStr">
        <is>
          <t>Apex Funding</t>
        </is>
      </c>
      <c r="M1735" s="5" t="inlineStr">
        <is>
          <t>Summit Loan Servicing</t>
        </is>
      </c>
    </row>
    <row r="1736">
      <c r="A1736" s="7" t="inlineStr">
        <is>
          <t>L101731</t>
        </is>
      </c>
      <c r="B1736" s="8" t="n">
        <v>240195.54</v>
      </c>
      <c r="C1736" s="8" t="n">
        <v>235360.19</v>
      </c>
      <c r="D1736" s="27" t="n">
        <v>6.478</v>
      </c>
      <c r="E1736" s="10" t="n">
        <v>754</v>
      </c>
      <c r="F1736" s="12" t="n">
        <v>74.40000000000001</v>
      </c>
      <c r="G1736" s="12" t="n">
        <v>35</v>
      </c>
      <c r="H1736" s="10" t="n">
        <v>21</v>
      </c>
      <c r="I1736" s="10" t="n">
        <v>339</v>
      </c>
      <c r="J1736" s="7" t="inlineStr">
        <is>
          <t>GA</t>
        </is>
      </c>
      <c r="K1736" s="7" t="inlineStr">
        <is>
          <t>2-4 Unit</t>
        </is>
      </c>
      <c r="L1736" s="7" t="inlineStr">
        <is>
          <t>Highline Capital</t>
        </is>
      </c>
      <c r="M1736" s="7" t="inlineStr">
        <is>
          <t>Northgate Servicing</t>
        </is>
      </c>
    </row>
    <row r="1737">
      <c r="A1737" s="5" t="inlineStr">
        <is>
          <t>L101732</t>
        </is>
      </c>
      <c r="B1737" s="16" t="n">
        <v>225250.57</v>
      </c>
      <c r="C1737" s="16" t="n">
        <v>215590.08</v>
      </c>
      <c r="D1737" s="26" t="n">
        <v>5.303</v>
      </c>
      <c r="E1737" s="6" t="n">
        <v>820</v>
      </c>
      <c r="F1737" s="11" t="n">
        <v>90.40000000000001</v>
      </c>
      <c r="G1737" s="11" t="n">
        <v>28.4</v>
      </c>
      <c r="H1737" s="6" t="n">
        <v>35</v>
      </c>
      <c r="I1737" s="6" t="n">
        <v>325</v>
      </c>
      <c r="J1737" s="5" t="inlineStr">
        <is>
          <t>WA</t>
        </is>
      </c>
      <c r="K1737" s="5" t="inlineStr">
        <is>
          <t>SFR</t>
        </is>
      </c>
      <c r="L1737" s="5" t="inlineStr">
        <is>
          <t>Meridian Home Loans</t>
        </is>
      </c>
      <c r="M1737" s="5" t="inlineStr">
        <is>
          <t>Summit Loan Servicing</t>
        </is>
      </c>
    </row>
    <row r="1738">
      <c r="A1738" s="7" t="inlineStr">
        <is>
          <t>L101733</t>
        </is>
      </c>
      <c r="B1738" s="8" t="n">
        <v>146577.19</v>
      </c>
      <c r="C1738" s="8" t="n">
        <v>140444.16</v>
      </c>
      <c r="D1738" s="27" t="n">
        <v>6.437</v>
      </c>
      <c r="E1738" s="10" t="n">
        <v>694</v>
      </c>
      <c r="F1738" s="12" t="n">
        <v>74.5</v>
      </c>
      <c r="G1738" s="12" t="n">
        <v>28.2</v>
      </c>
      <c r="H1738" s="10" t="n">
        <v>41</v>
      </c>
      <c r="I1738" s="10" t="n">
        <v>319</v>
      </c>
      <c r="J1738" s="7" t="inlineStr">
        <is>
          <t>CA</t>
        </is>
      </c>
      <c r="K1738" s="7" t="inlineStr">
        <is>
          <t>SFR</t>
        </is>
      </c>
      <c r="L1738" s="7" t="inlineStr">
        <is>
          <t>Coastal Mortgage Co</t>
        </is>
      </c>
      <c r="M1738" s="7" t="inlineStr">
        <is>
          <t>Northgate Servicing</t>
        </is>
      </c>
    </row>
    <row r="1739">
      <c r="A1739" s="5" t="inlineStr">
        <is>
          <t>L101734</t>
        </is>
      </c>
      <c r="B1739" s="16" t="n">
        <v>202647.08</v>
      </c>
      <c r="C1739" s="16" t="n">
        <v>183751.22</v>
      </c>
      <c r="D1739" s="26" t="n">
        <v>6.28</v>
      </c>
      <c r="E1739" s="6" t="n">
        <v>719</v>
      </c>
      <c r="F1739" s="11" t="n">
        <v>70</v>
      </c>
      <c r="G1739" s="11" t="n">
        <v>48.1</v>
      </c>
      <c r="H1739" s="6" t="n">
        <v>26</v>
      </c>
      <c r="I1739" s="6" t="n">
        <v>154</v>
      </c>
      <c r="J1739" s="5" t="inlineStr">
        <is>
          <t>IL</t>
        </is>
      </c>
      <c r="K1739" s="5" t="inlineStr">
        <is>
          <t>SFR</t>
        </is>
      </c>
      <c r="L1739" s="5" t="inlineStr">
        <is>
          <t>Meridian Home Loans</t>
        </is>
      </c>
      <c r="M1739" s="5" t="inlineStr">
        <is>
          <t>Pier Asset Mgmt</t>
        </is>
      </c>
    </row>
    <row r="1740">
      <c r="A1740" s="7" t="inlineStr">
        <is>
          <t>L101735</t>
        </is>
      </c>
      <c r="B1740" s="8" t="n">
        <v>334408.45</v>
      </c>
      <c r="C1740" s="8" t="n">
        <v>332404.4</v>
      </c>
      <c r="D1740" s="27" t="n">
        <v>5.059</v>
      </c>
      <c r="E1740" s="10" t="n">
        <v>690</v>
      </c>
      <c r="F1740" s="12" t="n">
        <v>51.7</v>
      </c>
      <c r="G1740" s="12" t="n">
        <v>28.2</v>
      </c>
      <c r="H1740" s="10" t="n">
        <v>5</v>
      </c>
      <c r="I1740" s="10" t="n">
        <v>355</v>
      </c>
      <c r="J1740" s="7" t="inlineStr">
        <is>
          <t>FL</t>
        </is>
      </c>
      <c r="K1740" s="7" t="inlineStr">
        <is>
          <t>SFR</t>
        </is>
      </c>
      <c r="L1740" s="7" t="inlineStr">
        <is>
          <t>Apex Funding</t>
        </is>
      </c>
      <c r="M1740" s="7" t="inlineStr">
        <is>
          <t>Northgate Servicing</t>
        </is>
      </c>
    </row>
    <row r="1741">
      <c r="A1741" s="5" t="inlineStr">
        <is>
          <t>L101736</t>
        </is>
      </c>
      <c r="B1741" s="16" t="n">
        <v>150404.41</v>
      </c>
      <c r="C1741" s="16" t="n">
        <v>130786.81</v>
      </c>
      <c r="D1741" s="26" t="n">
        <v>8.943</v>
      </c>
      <c r="E1741" s="6" t="n">
        <v>688</v>
      </c>
      <c r="F1741" s="11" t="n">
        <v>79.40000000000001</v>
      </c>
      <c r="G1741" s="11" t="n">
        <v>44.6</v>
      </c>
      <c r="H1741" s="6" t="n">
        <v>42</v>
      </c>
      <c r="I1741" s="6" t="n">
        <v>138</v>
      </c>
      <c r="J1741" s="5" t="inlineStr">
        <is>
          <t>IL</t>
        </is>
      </c>
      <c r="K1741" s="5" t="inlineStr">
        <is>
          <t>SFR</t>
        </is>
      </c>
      <c r="L1741" s="5" t="inlineStr">
        <is>
          <t>Meridian Home Loans</t>
        </is>
      </c>
      <c r="M1741" s="5" t="inlineStr">
        <is>
          <t>Northgate Servicing</t>
        </is>
      </c>
    </row>
    <row r="1742">
      <c r="A1742" s="7" t="inlineStr">
        <is>
          <t>L101737</t>
        </is>
      </c>
      <c r="B1742" s="8" t="n">
        <v>227215.81</v>
      </c>
      <c r="C1742" s="8" t="n">
        <v>219323.2</v>
      </c>
      <c r="D1742" s="27" t="n">
        <v>5.954</v>
      </c>
      <c r="E1742" s="10" t="n">
        <v>800</v>
      </c>
      <c r="F1742" s="12" t="n">
        <v>81.90000000000001</v>
      </c>
      <c r="G1742" s="12" t="n">
        <v>32.5</v>
      </c>
      <c r="H1742" s="10" t="n">
        <v>32</v>
      </c>
      <c r="I1742" s="10" t="n">
        <v>328</v>
      </c>
      <c r="J1742" s="7" t="inlineStr">
        <is>
          <t>WA</t>
        </is>
      </c>
      <c r="K1742" s="7" t="inlineStr">
        <is>
          <t>Condo</t>
        </is>
      </c>
      <c r="L1742" s="7" t="inlineStr">
        <is>
          <t>Highline Capital</t>
        </is>
      </c>
      <c r="M1742" s="7" t="inlineStr">
        <is>
          <t>Summit Loan Servicing</t>
        </is>
      </c>
    </row>
    <row r="1743">
      <c r="A1743" s="5" t="inlineStr">
        <is>
          <t>L101738</t>
        </is>
      </c>
      <c r="B1743" s="16" t="n">
        <v>182241.16</v>
      </c>
      <c r="C1743" s="16" t="n">
        <v>173494.14</v>
      </c>
      <c r="D1743" s="26" t="n">
        <v>5.955</v>
      </c>
      <c r="E1743" s="6" t="n">
        <v>678</v>
      </c>
      <c r="F1743" s="11" t="n">
        <v>52.6</v>
      </c>
      <c r="G1743" s="11" t="n">
        <v>35.8</v>
      </c>
      <c r="H1743" s="6" t="n">
        <v>43</v>
      </c>
      <c r="I1743" s="6" t="n">
        <v>317</v>
      </c>
      <c r="J1743" s="5" t="inlineStr">
        <is>
          <t>GA</t>
        </is>
      </c>
      <c r="K1743" s="5" t="inlineStr">
        <is>
          <t>Condo</t>
        </is>
      </c>
      <c r="L1743" s="5" t="inlineStr">
        <is>
          <t>Highline Capital</t>
        </is>
      </c>
      <c r="M1743" s="5" t="inlineStr">
        <is>
          <t>Summit Loan Servicing</t>
        </is>
      </c>
    </row>
    <row r="1744">
      <c r="A1744" s="7" t="inlineStr">
        <is>
          <t>L101739</t>
        </is>
      </c>
      <c r="B1744" s="8" t="n">
        <v>252451.05</v>
      </c>
      <c r="C1744" s="8" t="n">
        <v>246255.03</v>
      </c>
      <c r="D1744" s="27" t="n">
        <v>7.272</v>
      </c>
      <c r="E1744" s="10" t="n">
        <v>689</v>
      </c>
      <c r="F1744" s="12" t="n">
        <v>87.59999999999999</v>
      </c>
      <c r="G1744" s="12" t="n">
        <v>40.5</v>
      </c>
      <c r="H1744" s="10" t="n">
        <v>29</v>
      </c>
      <c r="I1744" s="10" t="n">
        <v>331</v>
      </c>
      <c r="J1744" s="7" t="inlineStr">
        <is>
          <t>WA</t>
        </is>
      </c>
      <c r="K1744" s="7" t="inlineStr">
        <is>
          <t>SFR</t>
        </is>
      </c>
      <c r="L1744" s="7" t="inlineStr">
        <is>
          <t>Highline Capital</t>
        </is>
      </c>
      <c r="M1744" s="7" t="inlineStr">
        <is>
          <t>Northgate Servicing</t>
        </is>
      </c>
    </row>
    <row r="1745">
      <c r="A1745" s="5" t="inlineStr">
        <is>
          <t>L101740</t>
        </is>
      </c>
      <c r="B1745" s="16" t="n">
        <v>211923.02</v>
      </c>
      <c r="C1745" s="16" t="n">
        <v>181612.84</v>
      </c>
      <c r="D1745" s="26" t="n">
        <v>8.032999999999999</v>
      </c>
      <c r="E1745" s="6" t="n">
        <v>628</v>
      </c>
      <c r="F1745" s="11" t="n">
        <v>83.2</v>
      </c>
      <c r="G1745" s="11" t="n">
        <v>31.2</v>
      </c>
      <c r="H1745" s="6" t="n">
        <v>43</v>
      </c>
      <c r="I1745" s="6" t="n">
        <v>137</v>
      </c>
      <c r="J1745" s="5" t="inlineStr">
        <is>
          <t>GA</t>
        </is>
      </c>
      <c r="K1745" s="5" t="inlineStr">
        <is>
          <t>SFR</t>
        </is>
      </c>
      <c r="L1745" s="5" t="inlineStr">
        <is>
          <t>Highline Capital</t>
        </is>
      </c>
      <c r="M1745" s="5" t="inlineStr">
        <is>
          <t>Northgate Servicing</t>
        </is>
      </c>
    </row>
    <row r="1746">
      <c r="A1746" s="7" t="inlineStr">
        <is>
          <t>L101741</t>
        </is>
      </c>
      <c r="B1746" s="8" t="n">
        <v>407211.42</v>
      </c>
      <c r="C1746" s="8" t="n">
        <v>349593.73</v>
      </c>
      <c r="D1746" s="27" t="n">
        <v>7.414</v>
      </c>
      <c r="E1746" s="10" t="n">
        <v>673</v>
      </c>
      <c r="F1746" s="12" t="n">
        <v>87.59999999999999</v>
      </c>
      <c r="G1746" s="12" t="n">
        <v>40.5</v>
      </c>
      <c r="H1746" s="10" t="n">
        <v>41</v>
      </c>
      <c r="I1746" s="10" t="n">
        <v>139</v>
      </c>
      <c r="J1746" s="7" t="inlineStr">
        <is>
          <t>OH</t>
        </is>
      </c>
      <c r="K1746" s="7" t="inlineStr">
        <is>
          <t>SFR</t>
        </is>
      </c>
      <c r="L1746" s="7" t="inlineStr">
        <is>
          <t>Meridian Home Loans</t>
        </is>
      </c>
      <c r="M1746" s="7" t="inlineStr">
        <is>
          <t>Summit Loan Servicing</t>
        </is>
      </c>
    </row>
    <row r="1747">
      <c r="A1747" s="5" t="inlineStr">
        <is>
          <t>L101742</t>
        </is>
      </c>
      <c r="B1747" s="16" t="n">
        <v>289903.71</v>
      </c>
      <c r="C1747" s="16" t="n">
        <v>286211.6</v>
      </c>
      <c r="D1747" s="26" t="n">
        <v>5.319</v>
      </c>
      <c r="E1747" s="6" t="n">
        <v>621</v>
      </c>
      <c r="F1747" s="11" t="n">
        <v>81</v>
      </c>
      <c r="G1747" s="11" t="n">
        <v>19.6</v>
      </c>
      <c r="H1747" s="6" t="n">
        <v>11</v>
      </c>
      <c r="I1747" s="6" t="n">
        <v>349</v>
      </c>
      <c r="J1747" s="5" t="inlineStr">
        <is>
          <t>TX</t>
        </is>
      </c>
      <c r="K1747" s="5" t="inlineStr">
        <is>
          <t>SFR</t>
        </is>
      </c>
      <c r="L1747" s="5" t="inlineStr">
        <is>
          <t>Apex Funding</t>
        </is>
      </c>
      <c r="M1747" s="5" t="inlineStr">
        <is>
          <t>Pier Asset Mgmt</t>
        </is>
      </c>
    </row>
    <row r="1748">
      <c r="A1748" s="7" t="inlineStr">
        <is>
          <t>L101743</t>
        </is>
      </c>
      <c r="B1748" s="8" t="n">
        <v>153409.93</v>
      </c>
      <c r="C1748" s="8" t="n">
        <v>152156.87</v>
      </c>
      <c r="D1748" s="27" t="n">
        <v>6.593</v>
      </c>
      <c r="E1748" s="10" t="n">
        <v>750</v>
      </c>
      <c r="F1748" s="12" t="n">
        <v>81.8</v>
      </c>
      <c r="G1748" s="12" t="n">
        <v>39.5</v>
      </c>
      <c r="H1748" s="10" t="n">
        <v>9</v>
      </c>
      <c r="I1748" s="10" t="n">
        <v>351</v>
      </c>
      <c r="J1748" s="7" t="inlineStr">
        <is>
          <t>NY</t>
        </is>
      </c>
      <c r="K1748" s="7" t="inlineStr">
        <is>
          <t>2-4 Unit</t>
        </is>
      </c>
      <c r="L1748" s="7" t="inlineStr">
        <is>
          <t>Apex Funding</t>
        </is>
      </c>
      <c r="M1748" s="7" t="inlineStr">
        <is>
          <t>Northgate Servicing</t>
        </is>
      </c>
    </row>
    <row r="1749">
      <c r="A1749" s="5" t="inlineStr">
        <is>
          <t>L101744</t>
        </is>
      </c>
      <c r="B1749" s="16" t="n">
        <v>307100.34</v>
      </c>
      <c r="C1749" s="16" t="n">
        <v>297551.49</v>
      </c>
      <c r="D1749" s="26" t="n">
        <v>4.707</v>
      </c>
      <c r="E1749" s="6" t="n">
        <v>820</v>
      </c>
      <c r="F1749" s="11" t="n">
        <v>80.2</v>
      </c>
      <c r="G1749" s="11" t="n">
        <v>16.3</v>
      </c>
      <c r="H1749" s="6" t="n">
        <v>8</v>
      </c>
      <c r="I1749" s="6" t="n">
        <v>172</v>
      </c>
      <c r="J1749" s="5" t="inlineStr">
        <is>
          <t>FL</t>
        </is>
      </c>
      <c r="K1749" s="5" t="inlineStr">
        <is>
          <t>SFR</t>
        </is>
      </c>
      <c r="L1749" s="5" t="inlineStr">
        <is>
          <t>Apex Funding</t>
        </is>
      </c>
      <c r="M1749" s="5" t="inlineStr">
        <is>
          <t>Summit Loan Servicing</t>
        </is>
      </c>
    </row>
    <row r="1750">
      <c r="A1750" s="7" t="inlineStr">
        <is>
          <t>L101745</t>
        </is>
      </c>
      <c r="B1750" s="8" t="n">
        <v>185140.79</v>
      </c>
      <c r="C1750" s="8" t="n">
        <v>178949.35</v>
      </c>
      <c r="D1750" s="27" t="n">
        <v>7.212</v>
      </c>
      <c r="E1750" s="10" t="n">
        <v>695</v>
      </c>
      <c r="F1750" s="12" t="n">
        <v>84.40000000000001</v>
      </c>
      <c r="G1750" s="12" t="n">
        <v>34.2</v>
      </c>
      <c r="H1750" s="10" t="n">
        <v>38</v>
      </c>
      <c r="I1750" s="10" t="n">
        <v>322</v>
      </c>
      <c r="J1750" s="7" t="inlineStr">
        <is>
          <t>AZ</t>
        </is>
      </c>
      <c r="K1750" s="7" t="inlineStr">
        <is>
          <t>Multifamily</t>
        </is>
      </c>
      <c r="L1750" s="7" t="inlineStr">
        <is>
          <t>Highline Capital</t>
        </is>
      </c>
      <c r="M1750" s="7" t="inlineStr">
        <is>
          <t>Summit Loan Servicing</t>
        </is>
      </c>
    </row>
    <row r="1751">
      <c r="A1751" s="5" t="inlineStr">
        <is>
          <t>L101746</t>
        </is>
      </c>
      <c r="B1751" s="16" t="n">
        <v>198402.14</v>
      </c>
      <c r="C1751" s="16" t="n">
        <v>195436.79</v>
      </c>
      <c r="D1751" s="26" t="n">
        <v>4.928</v>
      </c>
      <c r="E1751" s="6" t="n">
        <v>623</v>
      </c>
      <c r="F1751" s="11" t="n">
        <v>52.2</v>
      </c>
      <c r="G1751" s="11" t="n">
        <v>42.8</v>
      </c>
      <c r="H1751" s="6" t="n">
        <v>12</v>
      </c>
      <c r="I1751" s="6" t="n">
        <v>348</v>
      </c>
      <c r="J1751" s="5" t="inlineStr">
        <is>
          <t>GA</t>
        </is>
      </c>
      <c r="K1751" s="5" t="inlineStr">
        <is>
          <t>SFR</t>
        </is>
      </c>
      <c r="L1751" s="5" t="inlineStr">
        <is>
          <t>Apex Funding</t>
        </is>
      </c>
      <c r="M1751" s="5" t="inlineStr">
        <is>
          <t>Northgate Servicing</t>
        </is>
      </c>
    </row>
    <row r="1752">
      <c r="A1752" s="7" t="inlineStr">
        <is>
          <t>L101747</t>
        </is>
      </c>
      <c r="B1752" s="8" t="n">
        <v>270989.85</v>
      </c>
      <c r="C1752" s="8" t="n">
        <v>248839.16</v>
      </c>
      <c r="D1752" s="27" t="n">
        <v>5.677</v>
      </c>
      <c r="E1752" s="10" t="n">
        <v>764</v>
      </c>
      <c r="F1752" s="12" t="n">
        <v>56</v>
      </c>
      <c r="G1752" s="12" t="n">
        <v>41</v>
      </c>
      <c r="H1752" s="10" t="n">
        <v>22</v>
      </c>
      <c r="I1752" s="10" t="n">
        <v>158</v>
      </c>
      <c r="J1752" s="7" t="inlineStr">
        <is>
          <t>FL</t>
        </is>
      </c>
      <c r="K1752" s="7" t="inlineStr">
        <is>
          <t>SFR</t>
        </is>
      </c>
      <c r="L1752" s="7" t="inlineStr">
        <is>
          <t>Meridian Home Loans</t>
        </is>
      </c>
      <c r="M1752" s="7" t="inlineStr">
        <is>
          <t>Northgate Servicing</t>
        </is>
      </c>
    </row>
    <row r="1753">
      <c r="A1753" s="5" t="inlineStr">
        <is>
          <t>L101748</t>
        </is>
      </c>
      <c r="B1753" s="16" t="n">
        <v>204411.09</v>
      </c>
      <c r="C1753" s="16" t="n">
        <v>196493.44</v>
      </c>
      <c r="D1753" s="26" t="n">
        <v>6.397</v>
      </c>
      <c r="E1753" s="6" t="n">
        <v>675</v>
      </c>
      <c r="F1753" s="11" t="n">
        <v>65.2</v>
      </c>
      <c r="G1753" s="11" t="n">
        <v>25.6</v>
      </c>
      <c r="H1753" s="6" t="n">
        <v>38</v>
      </c>
      <c r="I1753" s="6" t="n">
        <v>322</v>
      </c>
      <c r="J1753" s="5" t="inlineStr">
        <is>
          <t>TX</t>
        </is>
      </c>
      <c r="K1753" s="5" t="inlineStr">
        <is>
          <t>Condo</t>
        </is>
      </c>
      <c r="L1753" s="5" t="inlineStr">
        <is>
          <t>Highline Capital</t>
        </is>
      </c>
      <c r="M1753" s="5" t="inlineStr">
        <is>
          <t>Pier Asset Mgmt</t>
        </is>
      </c>
    </row>
    <row r="1754">
      <c r="A1754" s="7" t="inlineStr">
        <is>
          <t>L101749</t>
        </is>
      </c>
      <c r="B1754" s="8" t="n">
        <v>331870.31</v>
      </c>
      <c r="C1754" s="8" t="n">
        <v>325580.48</v>
      </c>
      <c r="D1754" s="27" t="n">
        <v>6.801</v>
      </c>
      <c r="E1754" s="10" t="n">
        <v>786</v>
      </c>
      <c r="F1754" s="12" t="n">
        <v>72.40000000000001</v>
      </c>
      <c r="G1754" s="12" t="n">
        <v>26.6</v>
      </c>
      <c r="H1754" s="10" t="n">
        <v>21</v>
      </c>
      <c r="I1754" s="10" t="n">
        <v>339</v>
      </c>
      <c r="J1754" s="7" t="inlineStr">
        <is>
          <t>NY</t>
        </is>
      </c>
      <c r="K1754" s="7" t="inlineStr">
        <is>
          <t>SFR</t>
        </is>
      </c>
      <c r="L1754" s="7" t="inlineStr">
        <is>
          <t>Coastal Mortgage Co</t>
        </is>
      </c>
      <c r="M1754" s="7" t="inlineStr">
        <is>
          <t>Northgate Servicing</t>
        </is>
      </c>
    </row>
    <row r="1755">
      <c r="A1755" s="5" t="inlineStr">
        <is>
          <t>L101750</t>
        </is>
      </c>
      <c r="B1755" s="16" t="n">
        <v>185149.98</v>
      </c>
      <c r="C1755" s="16" t="n">
        <v>184611.49</v>
      </c>
      <c r="D1755" s="26" t="n">
        <v>6.165</v>
      </c>
      <c r="E1755" s="6" t="n">
        <v>699</v>
      </c>
      <c r="F1755" s="11" t="n">
        <v>78.7</v>
      </c>
      <c r="G1755" s="11" t="n">
        <v>30.5</v>
      </c>
      <c r="H1755" s="6" t="n">
        <v>3</v>
      </c>
      <c r="I1755" s="6" t="n">
        <v>357</v>
      </c>
      <c r="J1755" s="5" t="inlineStr">
        <is>
          <t>TX</t>
        </is>
      </c>
      <c r="K1755" s="5" t="inlineStr">
        <is>
          <t>SFR</t>
        </is>
      </c>
      <c r="L1755" s="5" t="inlineStr">
        <is>
          <t>Coastal Mortgage Co</t>
        </is>
      </c>
      <c r="M1755" s="5" t="inlineStr">
        <is>
          <t>Northgate Servicing</t>
        </is>
      </c>
    </row>
    <row r="1756">
      <c r="A1756" s="7" t="inlineStr">
        <is>
          <t>L101751</t>
        </is>
      </c>
      <c r="B1756" s="8" t="n">
        <v>195510.37</v>
      </c>
      <c r="C1756" s="8" t="n">
        <v>192894.07</v>
      </c>
      <c r="D1756" s="27" t="n">
        <v>7.767</v>
      </c>
      <c r="E1756" s="10" t="n">
        <v>680</v>
      </c>
      <c r="F1756" s="12" t="n">
        <v>77.90000000000001</v>
      </c>
      <c r="G1756" s="12" t="n">
        <v>37.5</v>
      </c>
      <c r="H1756" s="10" t="n">
        <v>18</v>
      </c>
      <c r="I1756" s="10" t="n">
        <v>342</v>
      </c>
      <c r="J1756" s="7" t="inlineStr">
        <is>
          <t>NC</t>
        </is>
      </c>
      <c r="K1756" s="7" t="inlineStr">
        <is>
          <t>SFR</t>
        </is>
      </c>
      <c r="L1756" s="7" t="inlineStr">
        <is>
          <t>Apex Funding</t>
        </is>
      </c>
      <c r="M1756" s="7" t="inlineStr">
        <is>
          <t>Pier Asset Mgmt</t>
        </is>
      </c>
    </row>
    <row r="1757">
      <c r="A1757" s="5" t="inlineStr">
        <is>
          <t>L101752</t>
        </is>
      </c>
      <c r="B1757" s="16" t="n">
        <v>192966.17</v>
      </c>
      <c r="C1757" s="16" t="n">
        <v>192173.98</v>
      </c>
      <c r="D1757" s="26" t="n">
        <v>7.051</v>
      </c>
      <c r="E1757" s="6" t="n">
        <v>705</v>
      </c>
      <c r="F1757" s="11" t="n">
        <v>87.40000000000001</v>
      </c>
      <c r="G1757" s="11" t="n">
        <v>19.7</v>
      </c>
      <c r="H1757" s="6" t="n">
        <v>5</v>
      </c>
      <c r="I1757" s="6" t="n">
        <v>355</v>
      </c>
      <c r="J1757" s="5" t="inlineStr">
        <is>
          <t>OH</t>
        </is>
      </c>
      <c r="K1757" s="5" t="inlineStr">
        <is>
          <t>Condo</t>
        </is>
      </c>
      <c r="L1757" s="5" t="inlineStr">
        <is>
          <t>Highline Capital</t>
        </is>
      </c>
      <c r="M1757" s="5" t="inlineStr">
        <is>
          <t>Northgate Servicing</t>
        </is>
      </c>
    </row>
    <row r="1758">
      <c r="A1758" s="7" t="inlineStr">
        <is>
          <t>L101753</t>
        </is>
      </c>
      <c r="B1758" s="8" t="n">
        <v>199192.39</v>
      </c>
      <c r="C1758" s="8" t="n">
        <v>186583.93</v>
      </c>
      <c r="D1758" s="27" t="n">
        <v>6.98</v>
      </c>
      <c r="E1758" s="10" t="n">
        <v>757</v>
      </c>
      <c r="F1758" s="12" t="n">
        <v>87.8</v>
      </c>
      <c r="G1758" s="12" t="n">
        <v>35.9</v>
      </c>
      <c r="H1758" s="10" t="n">
        <v>19</v>
      </c>
      <c r="I1758" s="10" t="n">
        <v>161</v>
      </c>
      <c r="J1758" s="7" t="inlineStr">
        <is>
          <t>WA</t>
        </is>
      </c>
      <c r="K1758" s="7" t="inlineStr">
        <is>
          <t>SFR</t>
        </is>
      </c>
      <c r="L1758" s="7" t="inlineStr">
        <is>
          <t>Apex Funding</t>
        </is>
      </c>
      <c r="M1758" s="7" t="inlineStr">
        <is>
          <t>Pier Asset Mgmt</t>
        </is>
      </c>
    </row>
    <row r="1759">
      <c r="A1759" s="5" t="inlineStr">
        <is>
          <t>L101754</t>
        </is>
      </c>
      <c r="B1759" s="16" t="n">
        <v>356723.78</v>
      </c>
      <c r="C1759" s="16" t="n">
        <v>341400.94</v>
      </c>
      <c r="D1759" s="26" t="n">
        <v>5.294</v>
      </c>
      <c r="E1759" s="6" t="n">
        <v>702</v>
      </c>
      <c r="F1759" s="11" t="n">
        <v>63.5</v>
      </c>
      <c r="G1759" s="11" t="n">
        <v>38.5</v>
      </c>
      <c r="H1759" s="6" t="n">
        <v>35</v>
      </c>
      <c r="I1759" s="6" t="n">
        <v>325</v>
      </c>
      <c r="J1759" s="5" t="inlineStr">
        <is>
          <t>FL</t>
        </is>
      </c>
      <c r="K1759" s="5" t="inlineStr">
        <is>
          <t>SFR</t>
        </is>
      </c>
      <c r="L1759" s="5" t="inlineStr">
        <is>
          <t>Meridian Home Loans</t>
        </is>
      </c>
      <c r="M1759" s="5" t="inlineStr">
        <is>
          <t>Northgate Servicing</t>
        </is>
      </c>
    </row>
    <row r="1760">
      <c r="A1760" s="7" t="inlineStr">
        <is>
          <t>L101755</t>
        </is>
      </c>
      <c r="B1760" s="8" t="n">
        <v>302573.26</v>
      </c>
      <c r="C1760" s="8" t="n">
        <v>296994.41</v>
      </c>
      <c r="D1760" s="27" t="n">
        <v>7.929</v>
      </c>
      <c r="E1760" s="10" t="n">
        <v>688</v>
      </c>
      <c r="F1760" s="12" t="n">
        <v>76.90000000000001</v>
      </c>
      <c r="G1760" s="12" t="n">
        <v>33.7</v>
      </c>
      <c r="H1760" s="10" t="n">
        <v>25</v>
      </c>
      <c r="I1760" s="10" t="n">
        <v>335</v>
      </c>
      <c r="J1760" s="7" t="inlineStr">
        <is>
          <t>IL</t>
        </is>
      </c>
      <c r="K1760" s="7" t="inlineStr">
        <is>
          <t>SFR</t>
        </is>
      </c>
      <c r="L1760" s="7" t="inlineStr">
        <is>
          <t>Apex Funding</t>
        </is>
      </c>
      <c r="M1760" s="7" t="inlineStr">
        <is>
          <t>Pier Asset Mgmt</t>
        </is>
      </c>
    </row>
    <row r="1761">
      <c r="A1761" s="5" t="inlineStr">
        <is>
          <t>L101756</t>
        </is>
      </c>
      <c r="B1761" s="16" t="n">
        <v>441741.6</v>
      </c>
      <c r="C1761" s="16" t="n">
        <v>425626.43</v>
      </c>
      <c r="D1761" s="26" t="n">
        <v>5.677</v>
      </c>
      <c r="E1761" s="6" t="n">
        <v>704</v>
      </c>
      <c r="F1761" s="11" t="n">
        <v>63.8</v>
      </c>
      <c r="G1761" s="11" t="n">
        <v>40.2</v>
      </c>
      <c r="H1761" s="6" t="n">
        <v>32</v>
      </c>
      <c r="I1761" s="6" t="n">
        <v>328</v>
      </c>
      <c r="J1761" s="5" t="inlineStr">
        <is>
          <t>GA</t>
        </is>
      </c>
      <c r="K1761" s="5" t="inlineStr">
        <is>
          <t>SFR</t>
        </is>
      </c>
      <c r="L1761" s="5" t="inlineStr">
        <is>
          <t>Apex Funding</t>
        </is>
      </c>
      <c r="M1761" s="5" t="inlineStr">
        <is>
          <t>Northgate Servicing</t>
        </is>
      </c>
    </row>
    <row r="1762">
      <c r="A1762" s="7" t="inlineStr">
        <is>
          <t>L101757</t>
        </is>
      </c>
      <c r="B1762" s="8" t="n">
        <v>536958.17</v>
      </c>
      <c r="C1762" s="8" t="n">
        <v>534744.14</v>
      </c>
      <c r="D1762" s="27" t="n">
        <v>7.964</v>
      </c>
      <c r="E1762" s="10" t="n">
        <v>645</v>
      </c>
      <c r="F1762" s="12" t="n">
        <v>71.7</v>
      </c>
      <c r="G1762" s="12" t="n">
        <v>37.8</v>
      </c>
      <c r="H1762" s="10" t="n">
        <v>6</v>
      </c>
      <c r="I1762" s="10" t="n">
        <v>354</v>
      </c>
      <c r="J1762" s="7" t="inlineStr">
        <is>
          <t>IL</t>
        </is>
      </c>
      <c r="K1762" s="7" t="inlineStr">
        <is>
          <t>Multifamily</t>
        </is>
      </c>
      <c r="L1762" s="7" t="inlineStr">
        <is>
          <t>Meridian Home Loans</t>
        </is>
      </c>
      <c r="M1762" s="7" t="inlineStr">
        <is>
          <t>Pier Asset Mgmt</t>
        </is>
      </c>
    </row>
    <row r="1763">
      <c r="A1763" s="5" t="inlineStr">
        <is>
          <t>L101758</t>
        </is>
      </c>
      <c r="B1763" s="16" t="n">
        <v>169269.78</v>
      </c>
      <c r="C1763" s="16" t="n">
        <v>164852.93</v>
      </c>
      <c r="D1763" s="26" t="n">
        <v>8.220000000000001</v>
      </c>
      <c r="E1763" s="6" t="n">
        <v>737</v>
      </c>
      <c r="F1763" s="11" t="n">
        <v>77.90000000000001</v>
      </c>
      <c r="G1763" s="11" t="n">
        <v>31.7</v>
      </c>
      <c r="H1763" s="6" t="n">
        <v>36</v>
      </c>
      <c r="I1763" s="6" t="n">
        <v>324</v>
      </c>
      <c r="J1763" s="5" t="inlineStr">
        <is>
          <t>IL</t>
        </is>
      </c>
      <c r="K1763" s="5" t="inlineStr">
        <is>
          <t>SFR</t>
        </is>
      </c>
      <c r="L1763" s="5" t="inlineStr">
        <is>
          <t>Apex Funding</t>
        </is>
      </c>
      <c r="M1763" s="5" t="inlineStr">
        <is>
          <t>Pier Asset Mgmt</t>
        </is>
      </c>
    </row>
    <row r="1764">
      <c r="A1764" s="7" t="inlineStr">
        <is>
          <t>L101759</t>
        </is>
      </c>
      <c r="B1764" s="8" t="n">
        <v>248860.23</v>
      </c>
      <c r="C1764" s="8" t="n">
        <v>244431.5</v>
      </c>
      <c r="D1764" s="27" t="n">
        <v>6.861</v>
      </c>
      <c r="E1764" s="10" t="n">
        <v>617</v>
      </c>
      <c r="F1764" s="12" t="n">
        <v>35</v>
      </c>
      <c r="G1764" s="12" t="n">
        <v>20.5</v>
      </c>
      <c r="H1764" s="10" t="n">
        <v>20</v>
      </c>
      <c r="I1764" s="10" t="n">
        <v>340</v>
      </c>
      <c r="J1764" s="7" t="inlineStr">
        <is>
          <t>FL</t>
        </is>
      </c>
      <c r="K1764" s="7" t="inlineStr">
        <is>
          <t>SFR</t>
        </is>
      </c>
      <c r="L1764" s="7" t="inlineStr">
        <is>
          <t>Highline Capital</t>
        </is>
      </c>
      <c r="M1764" s="7" t="inlineStr">
        <is>
          <t>Northgate Servicing</t>
        </is>
      </c>
    </row>
    <row r="1765">
      <c r="A1765" s="5" t="inlineStr">
        <is>
          <t>L101760</t>
        </is>
      </c>
      <c r="B1765" s="16" t="n">
        <v>160866.46</v>
      </c>
      <c r="C1765" s="16" t="n">
        <v>159066.63</v>
      </c>
      <c r="D1765" s="26" t="n">
        <v>7.329</v>
      </c>
      <c r="E1765" s="6" t="n">
        <v>691</v>
      </c>
      <c r="F1765" s="11" t="n">
        <v>97</v>
      </c>
      <c r="G1765" s="11" t="n">
        <v>37.1</v>
      </c>
      <c r="H1765" s="6" t="n">
        <v>14</v>
      </c>
      <c r="I1765" s="6" t="n">
        <v>346</v>
      </c>
      <c r="J1765" s="5" t="inlineStr">
        <is>
          <t>TX</t>
        </is>
      </c>
      <c r="K1765" s="5" t="inlineStr">
        <is>
          <t>SFR</t>
        </is>
      </c>
      <c r="L1765" s="5" t="inlineStr">
        <is>
          <t>Highline Capital</t>
        </is>
      </c>
      <c r="M1765" s="5" t="inlineStr">
        <is>
          <t>Summit Loan Servicing</t>
        </is>
      </c>
    </row>
    <row r="1766">
      <c r="A1766" s="7" t="inlineStr">
        <is>
          <t>L101761</t>
        </is>
      </c>
      <c r="B1766" s="8" t="n">
        <v>184949.47</v>
      </c>
      <c r="C1766" s="8" t="n">
        <v>175709.88</v>
      </c>
      <c r="D1766" s="27" t="n">
        <v>3.625</v>
      </c>
      <c r="E1766" s="10" t="n">
        <v>757</v>
      </c>
      <c r="F1766" s="12" t="n">
        <v>80.8</v>
      </c>
      <c r="G1766" s="12" t="n">
        <v>28.4</v>
      </c>
      <c r="H1766" s="10" t="n">
        <v>31</v>
      </c>
      <c r="I1766" s="10" t="n">
        <v>329</v>
      </c>
      <c r="J1766" s="7" t="inlineStr">
        <is>
          <t>IL</t>
        </is>
      </c>
      <c r="K1766" s="7" t="inlineStr">
        <is>
          <t>SFR</t>
        </is>
      </c>
      <c r="L1766" s="7" t="inlineStr">
        <is>
          <t>Coastal Mortgage Co</t>
        </is>
      </c>
      <c r="M1766" s="7" t="inlineStr">
        <is>
          <t>Summit Loan Servicing</t>
        </is>
      </c>
    </row>
    <row r="1767">
      <c r="A1767" s="5" t="inlineStr">
        <is>
          <t>L101762</t>
        </is>
      </c>
      <c r="B1767" s="16" t="n">
        <v>194749.84</v>
      </c>
      <c r="C1767" s="16" t="n">
        <v>193429.43</v>
      </c>
      <c r="D1767" s="26" t="n">
        <v>6.224</v>
      </c>
      <c r="E1767" s="6" t="n">
        <v>732</v>
      </c>
      <c r="F1767" s="11" t="n">
        <v>66.90000000000001</v>
      </c>
      <c r="G1767" s="11" t="n">
        <v>31.4</v>
      </c>
      <c r="H1767" s="6" t="n">
        <v>7</v>
      </c>
      <c r="I1767" s="6" t="n">
        <v>353</v>
      </c>
      <c r="J1767" s="5" t="inlineStr">
        <is>
          <t>CA</t>
        </is>
      </c>
      <c r="K1767" s="5" t="inlineStr">
        <is>
          <t>Multifamily</t>
        </is>
      </c>
      <c r="L1767" s="5" t="inlineStr">
        <is>
          <t>Apex Funding</t>
        </is>
      </c>
      <c r="M1767" s="5" t="inlineStr">
        <is>
          <t>Summit Loan Servicing</t>
        </is>
      </c>
    </row>
    <row r="1768">
      <c r="A1768" s="7" t="inlineStr">
        <is>
          <t>L101763</t>
        </is>
      </c>
      <c r="B1768" s="8" t="n">
        <v>167710.71</v>
      </c>
      <c r="C1768" s="8" t="n">
        <v>164432.02</v>
      </c>
      <c r="D1768" s="27" t="n">
        <v>7.392</v>
      </c>
      <c r="E1768" s="10" t="n">
        <v>747</v>
      </c>
      <c r="F1768" s="12" t="n">
        <v>97</v>
      </c>
      <c r="G1768" s="12" t="n">
        <v>39.8</v>
      </c>
      <c r="H1768" s="10" t="n">
        <v>24</v>
      </c>
      <c r="I1768" s="10" t="n">
        <v>336</v>
      </c>
      <c r="J1768" s="7" t="inlineStr">
        <is>
          <t>CA</t>
        </is>
      </c>
      <c r="K1768" s="7" t="inlineStr">
        <is>
          <t>SFR</t>
        </is>
      </c>
      <c r="L1768" s="7" t="inlineStr">
        <is>
          <t>Highline Capital</t>
        </is>
      </c>
      <c r="M1768" s="7" t="inlineStr">
        <is>
          <t>Summit Loan Servicing</t>
        </is>
      </c>
    </row>
    <row r="1769">
      <c r="A1769" s="5" t="inlineStr">
        <is>
          <t>L101764</t>
        </is>
      </c>
      <c r="B1769" s="16" t="n">
        <v>168020.19</v>
      </c>
      <c r="C1769" s="16" t="n">
        <v>165233.15</v>
      </c>
      <c r="D1769" s="26" t="n">
        <v>7.232</v>
      </c>
      <c r="E1769" s="6" t="n">
        <v>711</v>
      </c>
      <c r="F1769" s="11" t="n">
        <v>69.8</v>
      </c>
      <c r="G1769" s="11" t="n">
        <v>47.3</v>
      </c>
      <c r="H1769" s="6" t="n">
        <v>20</v>
      </c>
      <c r="I1769" s="6" t="n">
        <v>340</v>
      </c>
      <c r="J1769" s="5" t="inlineStr">
        <is>
          <t>GA</t>
        </is>
      </c>
      <c r="K1769" s="5" t="inlineStr">
        <is>
          <t>Condo</t>
        </is>
      </c>
      <c r="L1769" s="5" t="inlineStr">
        <is>
          <t>Apex Funding</t>
        </is>
      </c>
      <c r="M1769" s="5" t="inlineStr">
        <is>
          <t>Northgate Servicing</t>
        </is>
      </c>
    </row>
    <row r="1770">
      <c r="A1770" s="7" t="inlineStr">
        <is>
          <t>L101765</t>
        </is>
      </c>
      <c r="B1770" s="8" t="n">
        <v>230844.7</v>
      </c>
      <c r="C1770" s="8" t="n">
        <v>228714.14</v>
      </c>
      <c r="D1770" s="27" t="n">
        <v>5.302</v>
      </c>
      <c r="E1770" s="10" t="n">
        <v>779</v>
      </c>
      <c r="F1770" s="12" t="n">
        <v>75.59999999999999</v>
      </c>
      <c r="G1770" s="12" t="n">
        <v>35.7</v>
      </c>
      <c r="H1770" s="10" t="n">
        <v>8</v>
      </c>
      <c r="I1770" s="10" t="n">
        <v>352</v>
      </c>
      <c r="J1770" s="7" t="inlineStr">
        <is>
          <t>OH</t>
        </is>
      </c>
      <c r="K1770" s="7" t="inlineStr">
        <is>
          <t>SFR</t>
        </is>
      </c>
      <c r="L1770" s="7" t="inlineStr">
        <is>
          <t>Coastal Mortgage Co</t>
        </is>
      </c>
      <c r="M1770" s="7" t="inlineStr">
        <is>
          <t>Summit Loan Servicing</t>
        </is>
      </c>
    </row>
    <row r="1771">
      <c r="A1771" s="5" t="inlineStr">
        <is>
          <t>L101766</t>
        </is>
      </c>
      <c r="B1771" s="16" t="n">
        <v>158601.26</v>
      </c>
      <c r="C1771" s="16" t="n">
        <v>150840.16</v>
      </c>
      <c r="D1771" s="26" t="n">
        <v>6.136</v>
      </c>
      <c r="E1771" s="6" t="n">
        <v>766</v>
      </c>
      <c r="F1771" s="11" t="n">
        <v>68.2</v>
      </c>
      <c r="G1771" s="11" t="n">
        <v>40.4</v>
      </c>
      <c r="H1771" s="6" t="n">
        <v>45</v>
      </c>
      <c r="I1771" s="6" t="n">
        <v>315</v>
      </c>
      <c r="J1771" s="5" t="inlineStr">
        <is>
          <t>GA</t>
        </is>
      </c>
      <c r="K1771" s="5" t="inlineStr">
        <is>
          <t>Condo</t>
        </is>
      </c>
      <c r="L1771" s="5" t="inlineStr">
        <is>
          <t>Meridian Home Loans</t>
        </is>
      </c>
      <c r="M1771" s="5" t="inlineStr">
        <is>
          <t>Summit Loan Servicing</t>
        </is>
      </c>
    </row>
    <row r="1772">
      <c r="A1772" s="7" t="inlineStr">
        <is>
          <t>L101767</t>
        </is>
      </c>
      <c r="B1772" s="8" t="n">
        <v>326029.92</v>
      </c>
      <c r="C1772" s="8" t="n">
        <v>317503.36</v>
      </c>
      <c r="D1772" s="27" t="n">
        <v>4.117</v>
      </c>
      <c r="E1772" s="10" t="n">
        <v>740</v>
      </c>
      <c r="F1772" s="12" t="n">
        <v>93.8</v>
      </c>
      <c r="G1772" s="12" t="n">
        <v>24.4</v>
      </c>
      <c r="H1772" s="10" t="n">
        <v>18</v>
      </c>
      <c r="I1772" s="10" t="n">
        <v>342</v>
      </c>
      <c r="J1772" s="7" t="inlineStr">
        <is>
          <t>CA</t>
        </is>
      </c>
      <c r="K1772" s="7" t="inlineStr">
        <is>
          <t>SFR</t>
        </is>
      </c>
      <c r="L1772" s="7" t="inlineStr">
        <is>
          <t>Meridian Home Loans</t>
        </is>
      </c>
      <c r="M1772" s="7" t="inlineStr">
        <is>
          <t>Summit Loan Servicing</t>
        </is>
      </c>
    </row>
    <row r="1773">
      <c r="A1773" s="5" t="inlineStr">
        <is>
          <t>L101768</t>
        </is>
      </c>
      <c r="B1773" s="16" t="n">
        <v>176096.3</v>
      </c>
      <c r="C1773" s="16" t="n">
        <v>175793.52</v>
      </c>
      <c r="D1773" s="26" t="n">
        <v>6.772</v>
      </c>
      <c r="E1773" s="6" t="n">
        <v>766</v>
      </c>
      <c r="F1773" s="11" t="n">
        <v>72.7</v>
      </c>
      <c r="G1773" s="11" t="n">
        <v>38</v>
      </c>
      <c r="H1773" s="6" t="n">
        <v>2</v>
      </c>
      <c r="I1773" s="6" t="n">
        <v>358</v>
      </c>
      <c r="J1773" s="5" t="inlineStr">
        <is>
          <t>OH</t>
        </is>
      </c>
      <c r="K1773" s="5" t="inlineStr">
        <is>
          <t>SFR</t>
        </is>
      </c>
      <c r="L1773" s="5" t="inlineStr">
        <is>
          <t>Apex Funding</t>
        </is>
      </c>
      <c r="M1773" s="5" t="inlineStr">
        <is>
          <t>Summit Loan Servicing</t>
        </is>
      </c>
    </row>
    <row r="1774">
      <c r="A1774" s="7" t="inlineStr">
        <is>
          <t>L101769</t>
        </is>
      </c>
      <c r="B1774" s="8" t="n">
        <v>649104.59</v>
      </c>
      <c r="C1774" s="8" t="n">
        <v>631117.61</v>
      </c>
      <c r="D1774" s="27" t="n">
        <v>4.705</v>
      </c>
      <c r="E1774" s="10" t="n">
        <v>756</v>
      </c>
      <c r="F1774" s="12" t="n">
        <v>75.8</v>
      </c>
      <c r="G1774" s="12" t="n">
        <v>35.5</v>
      </c>
      <c r="H1774" s="10" t="n">
        <v>21</v>
      </c>
      <c r="I1774" s="10" t="n">
        <v>339</v>
      </c>
      <c r="J1774" s="7" t="inlineStr">
        <is>
          <t>NC</t>
        </is>
      </c>
      <c r="K1774" s="7" t="inlineStr">
        <is>
          <t>SFR</t>
        </is>
      </c>
      <c r="L1774" s="7" t="inlineStr">
        <is>
          <t>Highline Capital</t>
        </is>
      </c>
      <c r="M1774" s="7" t="inlineStr">
        <is>
          <t>Northgate Servicing</t>
        </is>
      </c>
    </row>
    <row r="1775">
      <c r="A1775" s="5" t="inlineStr">
        <is>
          <t>L101770</t>
        </is>
      </c>
      <c r="B1775" s="16" t="n">
        <v>207319.31</v>
      </c>
      <c r="C1775" s="16" t="n">
        <v>199025.43</v>
      </c>
      <c r="D1775" s="26" t="n">
        <v>7.417</v>
      </c>
      <c r="E1775" s="6" t="n">
        <v>691</v>
      </c>
      <c r="F1775" s="11" t="n">
        <v>88.40000000000001</v>
      </c>
      <c r="G1775" s="11" t="n">
        <v>45.8</v>
      </c>
      <c r="H1775" s="6" t="n">
        <v>46</v>
      </c>
      <c r="I1775" s="6" t="n">
        <v>314</v>
      </c>
      <c r="J1775" s="5" t="inlineStr">
        <is>
          <t>NY</t>
        </is>
      </c>
      <c r="K1775" s="5" t="inlineStr">
        <is>
          <t>SFR</t>
        </is>
      </c>
      <c r="L1775" s="5" t="inlineStr">
        <is>
          <t>Apex Funding</t>
        </is>
      </c>
      <c r="M1775" s="5" t="inlineStr">
        <is>
          <t>Pier Asset Mgmt</t>
        </is>
      </c>
    </row>
    <row r="1776">
      <c r="A1776" s="7" t="inlineStr">
        <is>
          <t>L101771</t>
        </is>
      </c>
      <c r="B1776" s="8" t="n">
        <v>248999.5</v>
      </c>
      <c r="C1776" s="8" t="n">
        <v>242431.73</v>
      </c>
      <c r="D1776" s="27" t="n">
        <v>7.464</v>
      </c>
      <c r="E1776" s="10" t="n">
        <v>641</v>
      </c>
      <c r="F1776" s="12" t="n">
        <v>81</v>
      </c>
      <c r="G1776" s="12" t="n">
        <v>31.7</v>
      </c>
      <c r="H1776" s="10" t="n">
        <v>32</v>
      </c>
      <c r="I1776" s="10" t="n">
        <v>328</v>
      </c>
      <c r="J1776" s="7" t="inlineStr">
        <is>
          <t>FL</t>
        </is>
      </c>
      <c r="K1776" s="7" t="inlineStr">
        <is>
          <t>Multifamily</t>
        </is>
      </c>
      <c r="L1776" s="7" t="inlineStr">
        <is>
          <t>Highline Capital</t>
        </is>
      </c>
      <c r="M1776" s="7" t="inlineStr">
        <is>
          <t>Pier Asset Mgmt</t>
        </is>
      </c>
    </row>
    <row r="1777">
      <c r="A1777" s="5" t="inlineStr">
        <is>
          <t>L101772</t>
        </is>
      </c>
      <c r="B1777" s="16" t="n">
        <v>154296.38</v>
      </c>
      <c r="C1777" s="16" t="n">
        <v>149314.08</v>
      </c>
      <c r="D1777" s="26" t="n">
        <v>5.973</v>
      </c>
      <c r="E1777" s="6" t="n">
        <v>738</v>
      </c>
      <c r="F1777" s="11" t="n">
        <v>73.3</v>
      </c>
      <c r="G1777" s="11" t="n">
        <v>34.1</v>
      </c>
      <c r="H1777" s="6" t="n">
        <v>30</v>
      </c>
      <c r="I1777" s="6" t="n">
        <v>330</v>
      </c>
      <c r="J1777" s="5" t="inlineStr">
        <is>
          <t>OH</t>
        </is>
      </c>
      <c r="K1777" s="5" t="inlineStr">
        <is>
          <t>Condo</t>
        </is>
      </c>
      <c r="L1777" s="5" t="inlineStr">
        <is>
          <t>Apex Funding</t>
        </is>
      </c>
      <c r="M1777" s="5" t="inlineStr">
        <is>
          <t>Pier Asset Mgmt</t>
        </is>
      </c>
    </row>
    <row r="1778">
      <c r="A1778" s="7" t="inlineStr">
        <is>
          <t>L101773</t>
        </is>
      </c>
      <c r="B1778" s="8" t="n">
        <v>441146.42</v>
      </c>
      <c r="C1778" s="8" t="n">
        <v>423114.12</v>
      </c>
      <c r="D1778" s="27" t="n">
        <v>6.869</v>
      </c>
      <c r="E1778" s="10" t="n">
        <v>745</v>
      </c>
      <c r="F1778" s="12" t="n">
        <v>87.3</v>
      </c>
      <c r="G1778" s="12" t="n">
        <v>44.5</v>
      </c>
      <c r="H1778" s="10" t="n">
        <v>43</v>
      </c>
      <c r="I1778" s="10" t="n">
        <v>317</v>
      </c>
      <c r="J1778" s="7" t="inlineStr">
        <is>
          <t>IL</t>
        </is>
      </c>
      <c r="K1778" s="7" t="inlineStr">
        <is>
          <t>SFR</t>
        </is>
      </c>
      <c r="L1778" s="7" t="inlineStr">
        <is>
          <t>Coastal Mortgage Co</t>
        </is>
      </c>
      <c r="M1778" s="7" t="inlineStr">
        <is>
          <t>Pier Asset Mgmt</t>
        </is>
      </c>
    </row>
    <row r="1779">
      <c r="A1779" s="5" t="inlineStr">
        <is>
          <t>L101774</t>
        </is>
      </c>
      <c r="B1779" s="16" t="n">
        <v>359268.48</v>
      </c>
      <c r="C1779" s="16" t="n">
        <v>357882.35</v>
      </c>
      <c r="D1779" s="26" t="n">
        <v>6.205</v>
      </c>
      <c r="E1779" s="6" t="n">
        <v>775</v>
      </c>
      <c r="F1779" s="11" t="n">
        <v>97</v>
      </c>
      <c r="G1779" s="11" t="n">
        <v>35.3</v>
      </c>
      <c r="H1779" s="6" t="n">
        <v>4</v>
      </c>
      <c r="I1779" s="6" t="n">
        <v>356</v>
      </c>
      <c r="J1779" s="5" t="inlineStr">
        <is>
          <t>TX</t>
        </is>
      </c>
      <c r="K1779" s="5" t="inlineStr">
        <is>
          <t>SFR</t>
        </is>
      </c>
      <c r="L1779" s="5" t="inlineStr">
        <is>
          <t>Apex Funding</t>
        </is>
      </c>
      <c r="M1779" s="5" t="inlineStr">
        <is>
          <t>Pier Asset Mgmt</t>
        </is>
      </c>
    </row>
    <row r="1780">
      <c r="A1780" s="7" t="inlineStr">
        <is>
          <t>L101775</t>
        </is>
      </c>
      <c r="B1780" s="8" t="n">
        <v>269391.38</v>
      </c>
      <c r="C1780" s="8" t="n">
        <v>262757.3</v>
      </c>
      <c r="D1780" s="27" t="n">
        <v>6.618</v>
      </c>
      <c r="E1780" s="10" t="n">
        <v>664</v>
      </c>
      <c r="F1780" s="12" t="n">
        <v>77.8</v>
      </c>
      <c r="G1780" s="12" t="n">
        <v>27.1</v>
      </c>
      <c r="H1780" s="10" t="n">
        <v>26</v>
      </c>
      <c r="I1780" s="10" t="n">
        <v>334</v>
      </c>
      <c r="J1780" s="7" t="inlineStr">
        <is>
          <t>FL</t>
        </is>
      </c>
      <c r="K1780" s="7" t="inlineStr">
        <is>
          <t>Condo</t>
        </is>
      </c>
      <c r="L1780" s="7" t="inlineStr">
        <is>
          <t>Coastal Mortgage Co</t>
        </is>
      </c>
      <c r="M1780" s="7" t="inlineStr">
        <is>
          <t>Summit Loan Servicing</t>
        </is>
      </c>
    </row>
    <row r="1781">
      <c r="A1781" s="5" t="inlineStr">
        <is>
          <t>L101776</t>
        </is>
      </c>
      <c r="B1781" s="16" t="n">
        <v>151542.15</v>
      </c>
      <c r="C1781" s="16" t="n">
        <v>148727.91</v>
      </c>
      <c r="D1781" s="26" t="n">
        <v>5.367</v>
      </c>
      <c r="E1781" s="6" t="n">
        <v>665</v>
      </c>
      <c r="F1781" s="11" t="n">
        <v>75.40000000000001</v>
      </c>
      <c r="G1781" s="11" t="n">
        <v>55</v>
      </c>
      <c r="H1781" s="6" t="n">
        <v>16</v>
      </c>
      <c r="I1781" s="6" t="n">
        <v>344</v>
      </c>
      <c r="J1781" s="5" t="inlineStr">
        <is>
          <t>FL</t>
        </is>
      </c>
      <c r="K1781" s="5" t="inlineStr">
        <is>
          <t>SFR</t>
        </is>
      </c>
      <c r="L1781" s="5" t="inlineStr">
        <is>
          <t>Meridian Home Loans</t>
        </is>
      </c>
      <c r="M1781" s="5" t="inlineStr">
        <is>
          <t>Summit Loan Servicing</t>
        </is>
      </c>
    </row>
    <row r="1782">
      <c r="A1782" s="7" t="inlineStr">
        <is>
          <t>L101777</t>
        </is>
      </c>
      <c r="B1782" s="8" t="n">
        <v>261380.74</v>
      </c>
      <c r="C1782" s="8" t="n">
        <v>253811.56</v>
      </c>
      <c r="D1782" s="27" t="n">
        <v>6.96</v>
      </c>
      <c r="E1782" s="10" t="n">
        <v>740</v>
      </c>
      <c r="F1782" s="12" t="n">
        <v>76</v>
      </c>
      <c r="G1782" s="12" t="n">
        <v>27.4</v>
      </c>
      <c r="H1782" s="10" t="n">
        <v>32</v>
      </c>
      <c r="I1782" s="10" t="n">
        <v>328</v>
      </c>
      <c r="J1782" s="7" t="inlineStr">
        <is>
          <t>IL</t>
        </is>
      </c>
      <c r="K1782" s="7" t="inlineStr">
        <is>
          <t>SFR</t>
        </is>
      </c>
      <c r="L1782" s="7" t="inlineStr">
        <is>
          <t>Apex Funding</t>
        </is>
      </c>
      <c r="M1782" s="7" t="inlineStr">
        <is>
          <t>Northgate Servicing</t>
        </is>
      </c>
    </row>
    <row r="1783">
      <c r="A1783" s="5" t="inlineStr">
        <is>
          <t>L101778</t>
        </is>
      </c>
      <c r="B1783" s="16" t="n">
        <v>163979.9</v>
      </c>
      <c r="C1783" s="16" t="n">
        <v>155076.38</v>
      </c>
      <c r="D1783" s="26" t="n">
        <v>4.923</v>
      </c>
      <c r="E1783" s="6" t="n">
        <v>711</v>
      </c>
      <c r="F1783" s="11" t="n">
        <v>89.7</v>
      </c>
      <c r="G1783" s="11" t="n">
        <v>35.5</v>
      </c>
      <c r="H1783" s="6" t="n">
        <v>41</v>
      </c>
      <c r="I1783" s="6" t="n">
        <v>319</v>
      </c>
      <c r="J1783" s="5" t="inlineStr">
        <is>
          <t>NY</t>
        </is>
      </c>
      <c r="K1783" s="5" t="inlineStr">
        <is>
          <t>Condo</t>
        </is>
      </c>
      <c r="L1783" s="5" t="inlineStr">
        <is>
          <t>Apex Funding</t>
        </is>
      </c>
      <c r="M1783" s="5" t="inlineStr">
        <is>
          <t>Summit Loan Servicing</t>
        </is>
      </c>
    </row>
    <row r="1784">
      <c r="A1784" s="7" t="inlineStr">
        <is>
          <t>L101779</t>
        </is>
      </c>
      <c r="B1784" s="8" t="n">
        <v>405073.72</v>
      </c>
      <c r="C1784" s="8" t="n">
        <v>403024.14</v>
      </c>
      <c r="D1784" s="27" t="n">
        <v>4.753</v>
      </c>
      <c r="E1784" s="10" t="n">
        <v>611</v>
      </c>
      <c r="F1784" s="12" t="n">
        <v>66.8</v>
      </c>
      <c r="G1784" s="12" t="n">
        <v>38.8</v>
      </c>
      <c r="H1784" s="10" t="n">
        <v>4</v>
      </c>
      <c r="I1784" s="10" t="n">
        <v>356</v>
      </c>
      <c r="J1784" s="7" t="inlineStr">
        <is>
          <t>GA</t>
        </is>
      </c>
      <c r="K1784" s="7" t="inlineStr">
        <is>
          <t>SFR</t>
        </is>
      </c>
      <c r="L1784" s="7" t="inlineStr">
        <is>
          <t>Highline Capital</t>
        </is>
      </c>
      <c r="M1784" s="7" t="inlineStr">
        <is>
          <t>Summit Loan Servicing</t>
        </is>
      </c>
    </row>
    <row r="1785">
      <c r="A1785" s="5" t="inlineStr">
        <is>
          <t>L101780</t>
        </is>
      </c>
      <c r="B1785" s="16" t="n">
        <v>322293.58</v>
      </c>
      <c r="C1785" s="16" t="n">
        <v>319820.95</v>
      </c>
      <c r="D1785" s="26" t="n">
        <v>6.29</v>
      </c>
      <c r="E1785" s="6" t="n">
        <v>736</v>
      </c>
      <c r="F1785" s="11" t="n">
        <v>70.7</v>
      </c>
      <c r="G1785" s="11" t="n">
        <v>38.1</v>
      </c>
      <c r="H1785" s="6" t="n">
        <v>8</v>
      </c>
      <c r="I1785" s="6" t="n">
        <v>352</v>
      </c>
      <c r="J1785" s="5" t="inlineStr">
        <is>
          <t>NY</t>
        </is>
      </c>
      <c r="K1785" s="5" t="inlineStr">
        <is>
          <t>SFR</t>
        </is>
      </c>
      <c r="L1785" s="5" t="inlineStr">
        <is>
          <t>Meridian Home Loans</t>
        </is>
      </c>
      <c r="M1785" s="5" t="inlineStr">
        <is>
          <t>Pier Asset Mgmt</t>
        </is>
      </c>
    </row>
    <row r="1786">
      <c r="A1786" s="7" t="inlineStr">
        <is>
          <t>L101781</t>
        </is>
      </c>
      <c r="B1786" s="8" t="n">
        <v>251049.06</v>
      </c>
      <c r="C1786" s="8" t="n">
        <v>238920.67</v>
      </c>
      <c r="D1786" s="27" t="n">
        <v>6.21</v>
      </c>
      <c r="E1786" s="10" t="n">
        <v>613</v>
      </c>
      <c r="F1786" s="12" t="n">
        <v>55.6</v>
      </c>
      <c r="G1786" s="12" t="n">
        <v>34.5</v>
      </c>
      <c r="H1786" s="10" t="n">
        <v>45</v>
      </c>
      <c r="I1786" s="10" t="n">
        <v>315</v>
      </c>
      <c r="J1786" s="7" t="inlineStr">
        <is>
          <t>NC</t>
        </is>
      </c>
      <c r="K1786" s="7" t="inlineStr">
        <is>
          <t>SFR</t>
        </is>
      </c>
      <c r="L1786" s="7" t="inlineStr">
        <is>
          <t>Coastal Mortgage Co</t>
        </is>
      </c>
      <c r="M1786" s="7" t="inlineStr">
        <is>
          <t>Northgate Servicing</t>
        </is>
      </c>
    </row>
    <row r="1787">
      <c r="A1787" s="5" t="inlineStr">
        <is>
          <t>L101782</t>
        </is>
      </c>
      <c r="B1787" s="16" t="n">
        <v>103493.96</v>
      </c>
      <c r="C1787" s="16" t="n">
        <v>101166.23</v>
      </c>
      <c r="D1787" s="26" t="n">
        <v>6.645</v>
      </c>
      <c r="E1787" s="6" t="n">
        <v>663</v>
      </c>
      <c r="F1787" s="11" t="n">
        <v>59.8</v>
      </c>
      <c r="G1787" s="11" t="n">
        <v>34.5</v>
      </c>
      <c r="H1787" s="6" t="n">
        <v>24</v>
      </c>
      <c r="I1787" s="6" t="n">
        <v>336</v>
      </c>
      <c r="J1787" s="5" t="inlineStr">
        <is>
          <t>IL</t>
        </is>
      </c>
      <c r="K1787" s="5" t="inlineStr">
        <is>
          <t>SFR</t>
        </is>
      </c>
      <c r="L1787" s="5" t="inlineStr">
        <is>
          <t>Meridian Home Loans</t>
        </is>
      </c>
      <c r="M1787" s="5" t="inlineStr">
        <is>
          <t>Pier Asset Mgmt</t>
        </is>
      </c>
    </row>
    <row r="1788">
      <c r="A1788" s="7" t="inlineStr">
        <is>
          <t>L101783</t>
        </is>
      </c>
      <c r="B1788" s="8" t="n">
        <v>172095.43</v>
      </c>
      <c r="C1788" s="8" t="n">
        <v>169341.09</v>
      </c>
      <c r="D1788" s="27" t="n">
        <v>5.815</v>
      </c>
      <c r="E1788" s="10" t="n">
        <v>789</v>
      </c>
      <c r="F1788" s="12" t="n">
        <v>67.8</v>
      </c>
      <c r="G1788" s="12" t="n">
        <v>34.1</v>
      </c>
      <c r="H1788" s="10" t="n">
        <v>15</v>
      </c>
      <c r="I1788" s="10" t="n">
        <v>345</v>
      </c>
      <c r="J1788" s="7" t="inlineStr">
        <is>
          <t>WA</t>
        </is>
      </c>
      <c r="K1788" s="7" t="inlineStr">
        <is>
          <t>Condo</t>
        </is>
      </c>
      <c r="L1788" s="7" t="inlineStr">
        <is>
          <t>Highline Capital</t>
        </is>
      </c>
      <c r="M1788" s="7" t="inlineStr">
        <is>
          <t>Northgate Servicing</t>
        </is>
      </c>
    </row>
    <row r="1789">
      <c r="A1789" s="5" t="inlineStr">
        <is>
          <t>L101784</t>
        </is>
      </c>
      <c r="B1789" s="16" t="n">
        <v>308882.55</v>
      </c>
      <c r="C1789" s="16" t="n">
        <v>307217.98</v>
      </c>
      <c r="D1789" s="26" t="n">
        <v>8.097</v>
      </c>
      <c r="E1789" s="6" t="n">
        <v>815</v>
      </c>
      <c r="F1789" s="11" t="n">
        <v>73.3</v>
      </c>
      <c r="G1789" s="11" t="n">
        <v>27.1</v>
      </c>
      <c r="H1789" s="6" t="n">
        <v>8</v>
      </c>
      <c r="I1789" s="6" t="n">
        <v>352</v>
      </c>
      <c r="J1789" s="5" t="inlineStr">
        <is>
          <t>OH</t>
        </is>
      </c>
      <c r="K1789" s="5" t="inlineStr">
        <is>
          <t>Condo</t>
        </is>
      </c>
      <c r="L1789" s="5" t="inlineStr">
        <is>
          <t>Highline Capital</t>
        </is>
      </c>
      <c r="M1789" s="5" t="inlineStr">
        <is>
          <t>Northgate Servicing</t>
        </is>
      </c>
    </row>
    <row r="1790">
      <c r="A1790" s="7" t="inlineStr">
        <is>
          <t>L101785</t>
        </is>
      </c>
      <c r="B1790" s="8" t="n">
        <v>371204.83</v>
      </c>
      <c r="C1790" s="8" t="n">
        <v>365296.17</v>
      </c>
      <c r="D1790" s="27" t="n">
        <v>6.545</v>
      </c>
      <c r="E1790" s="10" t="n">
        <v>648</v>
      </c>
      <c r="F1790" s="12" t="n">
        <v>95.2</v>
      </c>
      <c r="G1790" s="12" t="n">
        <v>53.2</v>
      </c>
      <c r="H1790" s="10" t="n">
        <v>17</v>
      </c>
      <c r="I1790" s="10" t="n">
        <v>343</v>
      </c>
      <c r="J1790" s="7" t="inlineStr">
        <is>
          <t>NY</t>
        </is>
      </c>
      <c r="K1790" s="7" t="inlineStr">
        <is>
          <t>Multifamily</t>
        </is>
      </c>
      <c r="L1790" s="7" t="inlineStr">
        <is>
          <t>Coastal Mortgage Co</t>
        </is>
      </c>
      <c r="M1790" s="7" t="inlineStr">
        <is>
          <t>Summit Loan Servicing</t>
        </is>
      </c>
    </row>
    <row r="1791">
      <c r="A1791" s="5" t="inlineStr">
        <is>
          <t>L101786</t>
        </is>
      </c>
      <c r="B1791" s="16" t="n">
        <v>357971.78</v>
      </c>
      <c r="C1791" s="16" t="n">
        <v>357655.02</v>
      </c>
      <c r="D1791" s="26" t="n">
        <v>6.61</v>
      </c>
      <c r="E1791" s="6" t="n">
        <v>697</v>
      </c>
      <c r="F1791" s="11" t="n">
        <v>80.40000000000001</v>
      </c>
      <c r="G1791" s="11" t="n">
        <v>34.2</v>
      </c>
      <c r="H1791" s="6" t="n">
        <v>1</v>
      </c>
      <c r="I1791" s="6" t="n">
        <v>359</v>
      </c>
      <c r="J1791" s="5" t="inlineStr">
        <is>
          <t>CA</t>
        </is>
      </c>
      <c r="K1791" s="5" t="inlineStr">
        <is>
          <t>SFR</t>
        </is>
      </c>
      <c r="L1791" s="5" t="inlineStr">
        <is>
          <t>Highline Capital</t>
        </is>
      </c>
      <c r="M1791" s="5" t="inlineStr">
        <is>
          <t>Summit Loan Servicing</t>
        </is>
      </c>
    </row>
    <row r="1792">
      <c r="A1792" s="7" t="inlineStr">
        <is>
          <t>L101787</t>
        </is>
      </c>
      <c r="B1792" s="8" t="n">
        <v>139078.73</v>
      </c>
      <c r="C1792" s="8" t="n">
        <v>137678.58</v>
      </c>
      <c r="D1792" s="27" t="n">
        <v>6.578</v>
      </c>
      <c r="E1792" s="10" t="n">
        <v>717</v>
      </c>
      <c r="F1792" s="12" t="n">
        <v>63.1</v>
      </c>
      <c r="G1792" s="12" t="n">
        <v>40.8</v>
      </c>
      <c r="H1792" s="10" t="n">
        <v>11</v>
      </c>
      <c r="I1792" s="10" t="n">
        <v>349</v>
      </c>
      <c r="J1792" s="7" t="inlineStr">
        <is>
          <t>GA</t>
        </is>
      </c>
      <c r="K1792" s="7" t="inlineStr">
        <is>
          <t>Condo</t>
        </is>
      </c>
      <c r="L1792" s="7" t="inlineStr">
        <is>
          <t>Apex Funding</t>
        </is>
      </c>
      <c r="M1792" s="7" t="inlineStr">
        <is>
          <t>Summit Loan Servicing</t>
        </is>
      </c>
    </row>
    <row r="1793">
      <c r="A1793" s="5" t="inlineStr">
        <is>
          <t>L101788</t>
        </is>
      </c>
      <c r="B1793" s="16" t="n">
        <v>269828.89</v>
      </c>
      <c r="C1793" s="16" t="n">
        <v>267908.04</v>
      </c>
      <c r="D1793" s="26" t="n">
        <v>7.303</v>
      </c>
      <c r="E1793" s="6" t="n">
        <v>813</v>
      </c>
      <c r="F1793" s="11" t="n">
        <v>65.3</v>
      </c>
      <c r="G1793" s="11" t="n">
        <v>33.3</v>
      </c>
      <c r="H1793" s="6" t="n">
        <v>9</v>
      </c>
      <c r="I1793" s="6" t="n">
        <v>351</v>
      </c>
      <c r="J1793" s="5" t="inlineStr">
        <is>
          <t>NY</t>
        </is>
      </c>
      <c r="K1793" s="5" t="inlineStr">
        <is>
          <t>Multifamily</t>
        </is>
      </c>
      <c r="L1793" s="5" t="inlineStr">
        <is>
          <t>Coastal Mortgage Co</t>
        </is>
      </c>
      <c r="M1793" s="5" t="inlineStr">
        <is>
          <t>Pier Asset Mgmt</t>
        </is>
      </c>
    </row>
    <row r="1794">
      <c r="A1794" s="7" t="inlineStr">
        <is>
          <t>L101789</t>
        </is>
      </c>
      <c r="B1794" s="8" t="n">
        <v>346428.01</v>
      </c>
      <c r="C1794" s="8" t="n">
        <v>341986.69</v>
      </c>
      <c r="D1794" s="27" t="n">
        <v>6.918</v>
      </c>
      <c r="E1794" s="10" t="n">
        <v>688</v>
      </c>
      <c r="F1794" s="12" t="n">
        <v>90.5</v>
      </c>
      <c r="G1794" s="12" t="n">
        <v>33.2</v>
      </c>
      <c r="H1794" s="10" t="n">
        <v>4</v>
      </c>
      <c r="I1794" s="10" t="n">
        <v>176</v>
      </c>
      <c r="J1794" s="7" t="inlineStr">
        <is>
          <t>WA</t>
        </is>
      </c>
      <c r="K1794" s="7" t="inlineStr">
        <is>
          <t>SFR</t>
        </is>
      </c>
      <c r="L1794" s="7" t="inlineStr">
        <is>
          <t>Coastal Mortgage Co</t>
        </is>
      </c>
      <c r="M1794" s="7" t="inlineStr">
        <is>
          <t>Pier Asset Mgmt</t>
        </is>
      </c>
    </row>
    <row r="1795">
      <c r="A1795" s="5" t="inlineStr">
        <is>
          <t>L101790</t>
        </is>
      </c>
      <c r="B1795" s="16" t="n">
        <v>135887.49</v>
      </c>
      <c r="C1795" s="16" t="n">
        <v>113033.53</v>
      </c>
      <c r="D1795" s="26" t="n">
        <v>6.798</v>
      </c>
      <c r="E1795" s="6" t="n">
        <v>689</v>
      </c>
      <c r="F1795" s="11" t="n">
        <v>87.5</v>
      </c>
      <c r="G1795" s="11" t="n">
        <v>32.4</v>
      </c>
      <c r="H1795" s="6" t="n">
        <v>46</v>
      </c>
      <c r="I1795" s="6" t="n">
        <v>134</v>
      </c>
      <c r="J1795" s="5" t="inlineStr">
        <is>
          <t>IL</t>
        </is>
      </c>
      <c r="K1795" s="5" t="inlineStr">
        <is>
          <t>Multifamily</t>
        </is>
      </c>
      <c r="L1795" s="5" t="inlineStr">
        <is>
          <t>Apex Funding</t>
        </is>
      </c>
      <c r="M1795" s="5" t="inlineStr">
        <is>
          <t>Summit Loan Servicing</t>
        </is>
      </c>
    </row>
    <row r="1796">
      <c r="A1796" s="7" t="inlineStr">
        <is>
          <t>L101791</t>
        </is>
      </c>
      <c r="B1796" s="8" t="n">
        <v>242130.82</v>
      </c>
      <c r="C1796" s="8" t="n">
        <v>209881.03</v>
      </c>
      <c r="D1796" s="27" t="n">
        <v>7.062</v>
      </c>
      <c r="E1796" s="10" t="n">
        <v>800</v>
      </c>
      <c r="F1796" s="12" t="n">
        <v>74.3</v>
      </c>
      <c r="G1796" s="12" t="n">
        <v>23.6</v>
      </c>
      <c r="H1796" s="10" t="n">
        <v>38</v>
      </c>
      <c r="I1796" s="10" t="n">
        <v>142</v>
      </c>
      <c r="J1796" s="7" t="inlineStr">
        <is>
          <t>FL</t>
        </is>
      </c>
      <c r="K1796" s="7" t="inlineStr">
        <is>
          <t>Multifamily</t>
        </is>
      </c>
      <c r="L1796" s="7" t="inlineStr">
        <is>
          <t>Meridian Home Loans</t>
        </is>
      </c>
      <c r="M1796" s="7" t="inlineStr">
        <is>
          <t>Northgate Servicing</t>
        </is>
      </c>
    </row>
    <row r="1797">
      <c r="A1797" s="5" t="inlineStr">
        <is>
          <t>L101792</t>
        </is>
      </c>
      <c r="B1797" s="16" t="n">
        <v>267224.62</v>
      </c>
      <c r="C1797" s="16" t="n">
        <v>250721.61</v>
      </c>
      <c r="D1797" s="26" t="n">
        <v>4.758</v>
      </c>
      <c r="E1797" s="6" t="n">
        <v>694</v>
      </c>
      <c r="F1797" s="11" t="n">
        <v>68.7</v>
      </c>
      <c r="G1797" s="11" t="n">
        <v>34.7</v>
      </c>
      <c r="H1797" s="6" t="n">
        <v>45</v>
      </c>
      <c r="I1797" s="6" t="n">
        <v>315</v>
      </c>
      <c r="J1797" s="5" t="inlineStr">
        <is>
          <t>NY</t>
        </is>
      </c>
      <c r="K1797" s="5" t="inlineStr">
        <is>
          <t>2-4 Unit</t>
        </is>
      </c>
      <c r="L1797" s="5" t="inlineStr">
        <is>
          <t>Meridian Home Loans</t>
        </is>
      </c>
      <c r="M1797" s="5" t="inlineStr">
        <is>
          <t>Northgate Servicing</t>
        </is>
      </c>
    </row>
    <row r="1798">
      <c r="A1798" s="7" t="inlineStr">
        <is>
          <t>L101793</t>
        </is>
      </c>
      <c r="B1798" s="8" t="n">
        <v>218541.76</v>
      </c>
      <c r="C1798" s="8" t="n">
        <v>215194.73</v>
      </c>
      <c r="D1798" s="27" t="n">
        <v>4.792</v>
      </c>
      <c r="E1798" s="10" t="n">
        <v>755</v>
      </c>
      <c r="F1798" s="12" t="n">
        <v>87.5</v>
      </c>
      <c r="G1798" s="12" t="n">
        <v>32.7</v>
      </c>
      <c r="H1798" s="10" t="n">
        <v>12</v>
      </c>
      <c r="I1798" s="10" t="n">
        <v>348</v>
      </c>
      <c r="J1798" s="7" t="inlineStr">
        <is>
          <t>OH</t>
        </is>
      </c>
      <c r="K1798" s="7" t="inlineStr">
        <is>
          <t>Multifamily</t>
        </is>
      </c>
      <c r="L1798" s="7" t="inlineStr">
        <is>
          <t>Highline Capital</t>
        </is>
      </c>
      <c r="M1798" s="7" t="inlineStr">
        <is>
          <t>Northgate Servicing</t>
        </is>
      </c>
    </row>
    <row r="1799">
      <c r="A1799" s="5" t="inlineStr">
        <is>
          <t>L101794</t>
        </is>
      </c>
      <c r="B1799" s="16" t="n">
        <v>126974.73</v>
      </c>
      <c r="C1799" s="16" t="n">
        <v>125256.36</v>
      </c>
      <c r="D1799" s="26" t="n">
        <v>6.332</v>
      </c>
      <c r="E1799" s="6" t="n">
        <v>634</v>
      </c>
      <c r="F1799" s="11" t="n">
        <v>62.1</v>
      </c>
      <c r="G1799" s="11" t="n">
        <v>45.4</v>
      </c>
      <c r="H1799" s="6" t="n">
        <v>14</v>
      </c>
      <c r="I1799" s="6" t="n">
        <v>346</v>
      </c>
      <c r="J1799" s="5" t="inlineStr">
        <is>
          <t>TX</t>
        </is>
      </c>
      <c r="K1799" s="5" t="inlineStr">
        <is>
          <t>SFR</t>
        </is>
      </c>
      <c r="L1799" s="5" t="inlineStr">
        <is>
          <t>Meridian Home Loans</t>
        </is>
      </c>
      <c r="M1799" s="5" t="inlineStr">
        <is>
          <t>Summit Loan Servicing</t>
        </is>
      </c>
    </row>
    <row r="1800">
      <c r="A1800" s="7" t="inlineStr">
        <is>
          <t>L101795</t>
        </is>
      </c>
      <c r="B1800" s="8" t="n">
        <v>216642.9</v>
      </c>
      <c r="C1800" s="8" t="n">
        <v>213649.93</v>
      </c>
      <c r="D1800" s="27" t="n">
        <v>6.222</v>
      </c>
      <c r="E1800" s="10" t="n">
        <v>706</v>
      </c>
      <c r="F1800" s="12" t="n">
        <v>78.7</v>
      </c>
      <c r="G1800" s="12" t="n">
        <v>26.4</v>
      </c>
      <c r="H1800" s="10" t="n">
        <v>14</v>
      </c>
      <c r="I1800" s="10" t="n">
        <v>346</v>
      </c>
      <c r="J1800" s="7" t="inlineStr">
        <is>
          <t>WA</t>
        </is>
      </c>
      <c r="K1800" s="7" t="inlineStr">
        <is>
          <t>SFR</t>
        </is>
      </c>
      <c r="L1800" s="7" t="inlineStr">
        <is>
          <t>Meridian Home Loans</t>
        </is>
      </c>
      <c r="M1800" s="7" t="inlineStr">
        <is>
          <t>Summit Loan Servicing</t>
        </is>
      </c>
    </row>
    <row r="1801">
      <c r="A1801" s="5" t="inlineStr">
        <is>
          <t>L101796</t>
        </is>
      </c>
      <c r="B1801" s="16" t="n">
        <v>216521.06</v>
      </c>
      <c r="C1801" s="16" t="n">
        <v>196489.81</v>
      </c>
      <c r="D1801" s="26" t="n">
        <v>6.922</v>
      </c>
      <c r="E1801" s="6" t="n">
        <v>624</v>
      </c>
      <c r="F1801" s="11" t="n">
        <v>97</v>
      </c>
      <c r="G1801" s="11" t="n">
        <v>31.4</v>
      </c>
      <c r="H1801" s="6" t="n">
        <v>27</v>
      </c>
      <c r="I1801" s="6" t="n">
        <v>153</v>
      </c>
      <c r="J1801" s="5" t="inlineStr">
        <is>
          <t>FL</t>
        </is>
      </c>
      <c r="K1801" s="5" t="inlineStr">
        <is>
          <t>2-4 Unit</t>
        </is>
      </c>
      <c r="L1801" s="5" t="inlineStr">
        <is>
          <t>Highline Capital</t>
        </is>
      </c>
      <c r="M1801" s="5" t="inlineStr">
        <is>
          <t>Summit Loan Servicing</t>
        </is>
      </c>
    </row>
    <row r="1802">
      <c r="A1802" s="7" t="inlineStr">
        <is>
          <t>L101797</t>
        </is>
      </c>
      <c r="B1802" s="8" t="n">
        <v>230538.85</v>
      </c>
      <c r="C1802" s="8" t="n">
        <v>228591.78</v>
      </c>
      <c r="D1802" s="27" t="n">
        <v>6.418</v>
      </c>
      <c r="E1802" s="10" t="n">
        <v>657</v>
      </c>
      <c r="F1802" s="12" t="n">
        <v>76.5</v>
      </c>
      <c r="G1802" s="12" t="n">
        <v>28.8</v>
      </c>
      <c r="H1802" s="10" t="n">
        <v>9</v>
      </c>
      <c r="I1802" s="10" t="n">
        <v>351</v>
      </c>
      <c r="J1802" s="7" t="inlineStr">
        <is>
          <t>OH</t>
        </is>
      </c>
      <c r="K1802" s="7" t="inlineStr">
        <is>
          <t>2-4 Unit</t>
        </is>
      </c>
      <c r="L1802" s="7" t="inlineStr">
        <is>
          <t>Highline Capital</t>
        </is>
      </c>
      <c r="M1802" s="7" t="inlineStr">
        <is>
          <t>Summit Loan Servicing</t>
        </is>
      </c>
    </row>
    <row r="1803">
      <c r="A1803" s="5" t="inlineStr">
        <is>
          <t>L101798</t>
        </is>
      </c>
      <c r="B1803" s="16" t="n">
        <v>199343.55</v>
      </c>
      <c r="C1803" s="16" t="n">
        <v>191500.75</v>
      </c>
      <c r="D1803" s="26" t="n">
        <v>6.924</v>
      </c>
      <c r="E1803" s="6" t="n">
        <v>761</v>
      </c>
      <c r="F1803" s="11" t="n">
        <v>64.7</v>
      </c>
      <c r="G1803" s="11" t="n">
        <v>47.5</v>
      </c>
      <c r="H1803" s="6" t="n">
        <v>12</v>
      </c>
      <c r="I1803" s="6" t="n">
        <v>168</v>
      </c>
      <c r="J1803" s="5" t="inlineStr">
        <is>
          <t>GA</t>
        </is>
      </c>
      <c r="K1803" s="5" t="inlineStr">
        <is>
          <t>SFR</t>
        </is>
      </c>
      <c r="L1803" s="5" t="inlineStr">
        <is>
          <t>Highline Capital</t>
        </is>
      </c>
      <c r="M1803" s="5" t="inlineStr">
        <is>
          <t>Summit Loan Servicing</t>
        </is>
      </c>
    </row>
    <row r="1804">
      <c r="A1804" s="7" t="inlineStr">
        <is>
          <t>L101799</t>
        </is>
      </c>
      <c r="B1804" s="8" t="n">
        <v>207927.71</v>
      </c>
      <c r="C1804" s="8" t="n">
        <v>169275.74</v>
      </c>
      <c r="D1804" s="27" t="n">
        <v>5.279</v>
      </c>
      <c r="E1804" s="10" t="n">
        <v>712</v>
      </c>
      <c r="F1804" s="12" t="n">
        <v>78.90000000000001</v>
      </c>
      <c r="G1804" s="12" t="n">
        <v>29</v>
      </c>
      <c r="H1804" s="10" t="n">
        <v>46</v>
      </c>
      <c r="I1804" s="10" t="n">
        <v>134</v>
      </c>
      <c r="J1804" s="7" t="inlineStr">
        <is>
          <t>GA</t>
        </is>
      </c>
      <c r="K1804" s="7" t="inlineStr">
        <is>
          <t>SFR</t>
        </is>
      </c>
      <c r="L1804" s="7" t="inlineStr">
        <is>
          <t>Meridian Home Loans</t>
        </is>
      </c>
      <c r="M1804" s="7" t="inlineStr">
        <is>
          <t>Northgate Servicing</t>
        </is>
      </c>
    </row>
    <row r="1805">
      <c r="A1805" s="5" t="inlineStr">
        <is>
          <t>L101800</t>
        </is>
      </c>
      <c r="B1805" s="16" t="n">
        <v>239450.69</v>
      </c>
      <c r="C1805" s="16" t="n">
        <v>225320.47</v>
      </c>
      <c r="D1805" s="26" t="n">
        <v>6.39</v>
      </c>
      <c r="E1805" s="6" t="n">
        <v>697</v>
      </c>
      <c r="F1805" s="11" t="n">
        <v>68.40000000000001</v>
      </c>
      <c r="G1805" s="11" t="n">
        <v>40.5</v>
      </c>
      <c r="H1805" s="6" t="n">
        <v>17</v>
      </c>
      <c r="I1805" s="6" t="n">
        <v>163</v>
      </c>
      <c r="J1805" s="5" t="inlineStr">
        <is>
          <t>FL</t>
        </is>
      </c>
      <c r="K1805" s="5" t="inlineStr">
        <is>
          <t>SFR</t>
        </is>
      </c>
      <c r="L1805" s="5" t="inlineStr">
        <is>
          <t>Highline Capital</t>
        </is>
      </c>
      <c r="M1805" s="5" t="inlineStr">
        <is>
          <t>Pier Asset Mgmt</t>
        </is>
      </c>
    </row>
    <row r="1806">
      <c r="A1806" s="7" t="inlineStr">
        <is>
          <t>L101801</t>
        </is>
      </c>
      <c r="B1806" s="8" t="n">
        <v>283469.3</v>
      </c>
      <c r="C1806" s="8" t="n">
        <v>270313.54</v>
      </c>
      <c r="D1806" s="27" t="n">
        <v>5.193</v>
      </c>
      <c r="E1806" s="10" t="n">
        <v>674</v>
      </c>
      <c r="F1806" s="12" t="n">
        <v>57.3</v>
      </c>
      <c r="G1806" s="12" t="n">
        <v>43.8</v>
      </c>
      <c r="H1806" s="10" t="n">
        <v>37</v>
      </c>
      <c r="I1806" s="10" t="n">
        <v>323</v>
      </c>
      <c r="J1806" s="7" t="inlineStr">
        <is>
          <t>AZ</t>
        </is>
      </c>
      <c r="K1806" s="7" t="inlineStr">
        <is>
          <t>2-4 Unit</t>
        </is>
      </c>
      <c r="L1806" s="7" t="inlineStr">
        <is>
          <t>Coastal Mortgage Co</t>
        </is>
      </c>
      <c r="M1806" s="7" t="inlineStr">
        <is>
          <t>Pier Asset Mgmt</t>
        </is>
      </c>
    </row>
    <row r="1807">
      <c r="A1807" s="5" t="inlineStr">
        <is>
          <t>L101802</t>
        </is>
      </c>
      <c r="B1807" s="16" t="n">
        <v>218261.82</v>
      </c>
      <c r="C1807" s="16" t="n">
        <v>216134.76</v>
      </c>
      <c r="D1807" s="26" t="n">
        <v>6.748</v>
      </c>
      <c r="E1807" s="6" t="n">
        <v>703</v>
      </c>
      <c r="F1807" s="11" t="n">
        <v>82.40000000000001</v>
      </c>
      <c r="G1807" s="11" t="n">
        <v>34.8</v>
      </c>
      <c r="H1807" s="6" t="n">
        <v>11</v>
      </c>
      <c r="I1807" s="6" t="n">
        <v>349</v>
      </c>
      <c r="J1807" s="5" t="inlineStr">
        <is>
          <t>NC</t>
        </is>
      </c>
      <c r="K1807" s="5" t="inlineStr">
        <is>
          <t>SFR</t>
        </is>
      </c>
      <c r="L1807" s="5" t="inlineStr">
        <is>
          <t>Meridian Home Loans</t>
        </is>
      </c>
      <c r="M1807" s="5" t="inlineStr">
        <is>
          <t>Northgate Servicing</t>
        </is>
      </c>
    </row>
    <row r="1808">
      <c r="A1808" s="7" t="inlineStr">
        <is>
          <t>L101803</t>
        </is>
      </c>
      <c r="B1808" s="8" t="n">
        <v>210369.94</v>
      </c>
      <c r="C1808" s="8" t="n">
        <v>197591.99</v>
      </c>
      <c r="D1808" s="27" t="n">
        <v>4.71</v>
      </c>
      <c r="E1808" s="10" t="n">
        <v>732</v>
      </c>
      <c r="F1808" s="12" t="n">
        <v>87.40000000000001</v>
      </c>
      <c r="G1808" s="12" t="n">
        <v>25</v>
      </c>
      <c r="H1808" s="10" t="n">
        <v>44</v>
      </c>
      <c r="I1808" s="10" t="n">
        <v>316</v>
      </c>
      <c r="J1808" s="7" t="inlineStr">
        <is>
          <t>IL</t>
        </is>
      </c>
      <c r="K1808" s="7" t="inlineStr">
        <is>
          <t>SFR</t>
        </is>
      </c>
      <c r="L1808" s="7" t="inlineStr">
        <is>
          <t>Highline Capital</t>
        </is>
      </c>
      <c r="M1808" s="7" t="inlineStr">
        <is>
          <t>Summit Loan Servicing</t>
        </is>
      </c>
    </row>
    <row r="1809">
      <c r="A1809" s="5" t="inlineStr">
        <is>
          <t>L101804</t>
        </is>
      </c>
      <c r="B1809" s="16" t="n">
        <v>250778.14</v>
      </c>
      <c r="C1809" s="16" t="n">
        <v>221470.73</v>
      </c>
      <c r="D1809" s="26" t="n">
        <v>6.713</v>
      </c>
      <c r="E1809" s="6" t="n">
        <v>769</v>
      </c>
      <c r="F1809" s="11" t="n">
        <v>70.3</v>
      </c>
      <c r="G1809" s="11" t="n">
        <v>25.1</v>
      </c>
      <c r="H1809" s="6" t="n">
        <v>33</v>
      </c>
      <c r="I1809" s="6" t="n">
        <v>147</v>
      </c>
      <c r="J1809" s="5" t="inlineStr">
        <is>
          <t>IL</t>
        </is>
      </c>
      <c r="K1809" s="5" t="inlineStr">
        <is>
          <t>SFR</t>
        </is>
      </c>
      <c r="L1809" s="5" t="inlineStr">
        <is>
          <t>Coastal Mortgage Co</t>
        </is>
      </c>
      <c r="M1809" s="5" t="inlineStr">
        <is>
          <t>Northgate Servicing</t>
        </is>
      </c>
    </row>
    <row r="1810">
      <c r="A1810" s="7" t="inlineStr">
        <is>
          <t>L101805</t>
        </is>
      </c>
      <c r="B1810" s="8" t="n">
        <v>123955.69</v>
      </c>
      <c r="C1810" s="8" t="n">
        <v>117398.16</v>
      </c>
      <c r="D1810" s="27" t="n">
        <v>5.078</v>
      </c>
      <c r="E1810" s="10" t="n">
        <v>580</v>
      </c>
      <c r="F1810" s="12" t="n">
        <v>69.5</v>
      </c>
      <c r="G1810" s="12" t="n">
        <v>42.9</v>
      </c>
      <c r="H1810" s="10" t="n">
        <v>41</v>
      </c>
      <c r="I1810" s="10" t="n">
        <v>319</v>
      </c>
      <c r="J1810" s="7" t="inlineStr">
        <is>
          <t>GA</t>
        </is>
      </c>
      <c r="K1810" s="7" t="inlineStr">
        <is>
          <t>SFR</t>
        </is>
      </c>
      <c r="L1810" s="7" t="inlineStr">
        <is>
          <t>Apex Funding</t>
        </is>
      </c>
      <c r="M1810" s="7" t="inlineStr">
        <is>
          <t>Summit Loan Servicing</t>
        </is>
      </c>
    </row>
    <row r="1811">
      <c r="A1811" s="5" t="inlineStr">
        <is>
          <t>L101806</t>
        </is>
      </c>
      <c r="B1811" s="16" t="n">
        <v>286921.03</v>
      </c>
      <c r="C1811" s="16" t="n">
        <v>279410.17</v>
      </c>
      <c r="D1811" s="26" t="n">
        <v>6.055</v>
      </c>
      <c r="E1811" s="6" t="n">
        <v>669</v>
      </c>
      <c r="F1811" s="11" t="n">
        <v>62.5</v>
      </c>
      <c r="G1811" s="11" t="n">
        <v>25.9</v>
      </c>
      <c r="H1811" s="6" t="n">
        <v>25</v>
      </c>
      <c r="I1811" s="6" t="n">
        <v>335</v>
      </c>
      <c r="J1811" s="5" t="inlineStr">
        <is>
          <t>IL</t>
        </is>
      </c>
      <c r="K1811" s="5" t="inlineStr">
        <is>
          <t>Multifamily</t>
        </is>
      </c>
      <c r="L1811" s="5" t="inlineStr">
        <is>
          <t>Meridian Home Loans</t>
        </is>
      </c>
      <c r="M1811" s="5" t="inlineStr">
        <is>
          <t>Summit Loan Servicing</t>
        </is>
      </c>
    </row>
    <row r="1812">
      <c r="A1812" s="7" t="inlineStr">
        <is>
          <t>L101807</t>
        </is>
      </c>
      <c r="B1812" s="8" t="n">
        <v>242753.77</v>
      </c>
      <c r="C1812" s="8" t="n">
        <v>233411.39</v>
      </c>
      <c r="D1812" s="27" t="n">
        <v>7.205</v>
      </c>
      <c r="E1812" s="10" t="n">
        <v>724</v>
      </c>
      <c r="F1812" s="12" t="n">
        <v>72.2</v>
      </c>
      <c r="G1812" s="12" t="n">
        <v>39.1</v>
      </c>
      <c r="H1812" s="10" t="n">
        <v>43</v>
      </c>
      <c r="I1812" s="10" t="n">
        <v>317</v>
      </c>
      <c r="J1812" s="7" t="inlineStr">
        <is>
          <t>WA</t>
        </is>
      </c>
      <c r="K1812" s="7" t="inlineStr">
        <is>
          <t>SFR</t>
        </is>
      </c>
      <c r="L1812" s="7" t="inlineStr">
        <is>
          <t>Meridian Home Loans</t>
        </is>
      </c>
      <c r="M1812" s="7" t="inlineStr">
        <is>
          <t>Pier Asset Mgmt</t>
        </is>
      </c>
    </row>
    <row r="1813">
      <c r="A1813" s="5" t="inlineStr">
        <is>
          <t>L101808</t>
        </is>
      </c>
      <c r="B1813" s="16" t="n">
        <v>246198.34</v>
      </c>
      <c r="C1813" s="16" t="n">
        <v>231033.27</v>
      </c>
      <c r="D1813" s="26" t="n">
        <v>6.605</v>
      </c>
      <c r="E1813" s="6" t="n">
        <v>710</v>
      </c>
      <c r="F1813" s="11" t="n">
        <v>67.3</v>
      </c>
      <c r="G1813" s="11" t="n">
        <v>36.9</v>
      </c>
      <c r="H1813" s="6" t="n">
        <v>18</v>
      </c>
      <c r="I1813" s="6" t="n">
        <v>162</v>
      </c>
      <c r="J1813" s="5" t="inlineStr">
        <is>
          <t>CA</t>
        </is>
      </c>
      <c r="K1813" s="5" t="inlineStr">
        <is>
          <t>SFR</t>
        </is>
      </c>
      <c r="L1813" s="5" t="inlineStr">
        <is>
          <t>Highline Capital</t>
        </is>
      </c>
      <c r="M1813" s="5" t="inlineStr">
        <is>
          <t>Northgate Servicing</t>
        </is>
      </c>
    </row>
    <row r="1814">
      <c r="A1814" s="7" t="inlineStr">
        <is>
          <t>L101809</t>
        </is>
      </c>
      <c r="B1814" s="8" t="n">
        <v>339849.11</v>
      </c>
      <c r="C1814" s="8" t="n">
        <v>329873.18</v>
      </c>
      <c r="D1814" s="27" t="n">
        <v>4.919</v>
      </c>
      <c r="E1814" s="10" t="n">
        <v>737</v>
      </c>
      <c r="F1814" s="12" t="n">
        <v>61.9</v>
      </c>
      <c r="G1814" s="12" t="n">
        <v>39</v>
      </c>
      <c r="H1814" s="10" t="n">
        <v>23</v>
      </c>
      <c r="I1814" s="10" t="n">
        <v>337</v>
      </c>
      <c r="J1814" s="7" t="inlineStr">
        <is>
          <t>FL</t>
        </is>
      </c>
      <c r="K1814" s="7" t="inlineStr">
        <is>
          <t>SFR</t>
        </is>
      </c>
      <c r="L1814" s="7" t="inlineStr">
        <is>
          <t>Apex Funding</t>
        </is>
      </c>
      <c r="M1814" s="7" t="inlineStr">
        <is>
          <t>Northgate Servicing</t>
        </is>
      </c>
    </row>
    <row r="1815">
      <c r="A1815" s="5" t="inlineStr">
        <is>
          <t>L101810</t>
        </is>
      </c>
      <c r="B1815" s="16" t="n">
        <v>122579.44</v>
      </c>
      <c r="C1815" s="16" t="n">
        <v>122196.92</v>
      </c>
      <c r="D1815" s="26" t="n">
        <v>5.795</v>
      </c>
      <c r="E1815" s="6" t="n">
        <v>730</v>
      </c>
      <c r="F1815" s="11" t="n">
        <v>96.7</v>
      </c>
      <c r="G1815" s="11" t="n">
        <v>39.8</v>
      </c>
      <c r="H1815" s="6" t="n">
        <v>3</v>
      </c>
      <c r="I1815" s="6" t="n">
        <v>357</v>
      </c>
      <c r="J1815" s="5" t="inlineStr">
        <is>
          <t>OH</t>
        </is>
      </c>
      <c r="K1815" s="5" t="inlineStr">
        <is>
          <t>Condo</t>
        </is>
      </c>
      <c r="L1815" s="5" t="inlineStr">
        <is>
          <t>Highline Capital</t>
        </is>
      </c>
      <c r="M1815" s="5" t="inlineStr">
        <is>
          <t>Northgate Servicing</t>
        </is>
      </c>
    </row>
    <row r="1816">
      <c r="A1816" s="7" t="inlineStr">
        <is>
          <t>L101811</t>
        </is>
      </c>
      <c r="B1816" s="8" t="n">
        <v>121681</v>
      </c>
      <c r="C1816" s="8" t="n">
        <v>120354.86</v>
      </c>
      <c r="D1816" s="27" t="n">
        <v>5.049</v>
      </c>
      <c r="E1816" s="10" t="n">
        <v>698</v>
      </c>
      <c r="F1816" s="12" t="n">
        <v>79.59999999999999</v>
      </c>
      <c r="G1816" s="12" t="n">
        <v>28.5</v>
      </c>
      <c r="H1816" s="10" t="n">
        <v>9</v>
      </c>
      <c r="I1816" s="10" t="n">
        <v>351</v>
      </c>
      <c r="J1816" s="7" t="inlineStr">
        <is>
          <t>AZ</t>
        </is>
      </c>
      <c r="K1816" s="7" t="inlineStr">
        <is>
          <t>SFR</t>
        </is>
      </c>
      <c r="L1816" s="7" t="inlineStr">
        <is>
          <t>Meridian Home Loans</t>
        </is>
      </c>
      <c r="M1816" s="7" t="inlineStr">
        <is>
          <t>Summit Loan Servicing</t>
        </is>
      </c>
    </row>
    <row r="1817">
      <c r="A1817" s="5" t="inlineStr">
        <is>
          <t>L101812</t>
        </is>
      </c>
      <c r="B1817" s="16" t="n">
        <v>267221.01</v>
      </c>
      <c r="C1817" s="16" t="n">
        <v>254131.29</v>
      </c>
      <c r="D1817" s="26" t="n">
        <v>4.875</v>
      </c>
      <c r="E1817" s="6" t="n">
        <v>686</v>
      </c>
      <c r="F1817" s="11" t="n">
        <v>80.90000000000001</v>
      </c>
      <c r="G1817" s="11" t="n">
        <v>28.2</v>
      </c>
      <c r="H1817" s="6" t="n">
        <v>37</v>
      </c>
      <c r="I1817" s="6" t="n">
        <v>323</v>
      </c>
      <c r="J1817" s="5" t="inlineStr">
        <is>
          <t>NY</t>
        </is>
      </c>
      <c r="K1817" s="5" t="inlineStr">
        <is>
          <t>SFR</t>
        </is>
      </c>
      <c r="L1817" s="5" t="inlineStr">
        <is>
          <t>Highline Capital</t>
        </is>
      </c>
      <c r="M1817" s="5" t="inlineStr">
        <is>
          <t>Northgate Servicing</t>
        </is>
      </c>
    </row>
    <row r="1818">
      <c r="A1818" s="7" t="inlineStr">
        <is>
          <t>L101813</t>
        </is>
      </c>
      <c r="B1818" s="8" t="n">
        <v>242197.58</v>
      </c>
      <c r="C1818" s="8" t="n">
        <v>238552.51</v>
      </c>
      <c r="D1818" s="27" t="n">
        <v>6.506</v>
      </c>
      <c r="E1818" s="10" t="n">
        <v>701</v>
      </c>
      <c r="F1818" s="12" t="n">
        <v>84.59999999999999</v>
      </c>
      <c r="G1818" s="12" t="n">
        <v>41.7</v>
      </c>
      <c r="H1818" s="10" t="n">
        <v>16</v>
      </c>
      <c r="I1818" s="10" t="n">
        <v>344</v>
      </c>
      <c r="J1818" s="7" t="inlineStr">
        <is>
          <t>GA</t>
        </is>
      </c>
      <c r="K1818" s="7" t="inlineStr">
        <is>
          <t>SFR</t>
        </is>
      </c>
      <c r="L1818" s="7" t="inlineStr">
        <is>
          <t>Highline Capital</t>
        </is>
      </c>
      <c r="M1818" s="7" t="inlineStr">
        <is>
          <t>Northgate Servicing</t>
        </is>
      </c>
    </row>
    <row r="1819">
      <c r="A1819" s="5" t="inlineStr">
        <is>
          <t>L101814</t>
        </is>
      </c>
      <c r="B1819" s="16" t="n">
        <v>257702.71</v>
      </c>
      <c r="C1819" s="16" t="n">
        <v>256613.91</v>
      </c>
      <c r="D1819" s="26" t="n">
        <v>6.904</v>
      </c>
      <c r="E1819" s="6" t="n">
        <v>778</v>
      </c>
      <c r="F1819" s="11" t="n">
        <v>83.3</v>
      </c>
      <c r="G1819" s="11" t="n">
        <v>31</v>
      </c>
      <c r="H1819" s="6" t="n">
        <v>5</v>
      </c>
      <c r="I1819" s="6" t="n">
        <v>355</v>
      </c>
      <c r="J1819" s="5" t="inlineStr">
        <is>
          <t>CA</t>
        </is>
      </c>
      <c r="K1819" s="5" t="inlineStr">
        <is>
          <t>2-4 Unit</t>
        </is>
      </c>
      <c r="L1819" s="5" t="inlineStr">
        <is>
          <t>Highline Capital</t>
        </is>
      </c>
      <c r="M1819" s="5" t="inlineStr">
        <is>
          <t>Pier Asset Mgmt</t>
        </is>
      </c>
    </row>
    <row r="1820">
      <c r="A1820" s="7" t="inlineStr">
        <is>
          <t>L101815</t>
        </is>
      </c>
      <c r="B1820" s="8" t="n">
        <v>206541.27</v>
      </c>
      <c r="C1820" s="8" t="n">
        <v>196906.69</v>
      </c>
      <c r="D1820" s="27" t="n">
        <v>6.797</v>
      </c>
      <c r="E1820" s="10" t="n">
        <v>675</v>
      </c>
      <c r="F1820" s="12" t="n">
        <v>69</v>
      </c>
      <c r="G1820" s="12" t="n">
        <v>14</v>
      </c>
      <c r="H1820" s="10" t="n">
        <v>14</v>
      </c>
      <c r="I1820" s="10" t="n">
        <v>166</v>
      </c>
      <c r="J1820" s="7" t="inlineStr">
        <is>
          <t>TX</t>
        </is>
      </c>
      <c r="K1820" s="7" t="inlineStr">
        <is>
          <t>Condo</t>
        </is>
      </c>
      <c r="L1820" s="7" t="inlineStr">
        <is>
          <t>Meridian Home Loans</t>
        </is>
      </c>
      <c r="M1820" s="7" t="inlineStr">
        <is>
          <t>Northgate Servicing</t>
        </is>
      </c>
    </row>
    <row r="1821">
      <c r="A1821" s="5" t="inlineStr">
        <is>
          <t>L101816</t>
        </is>
      </c>
      <c r="B1821" s="16" t="n">
        <v>306362.34</v>
      </c>
      <c r="C1821" s="16" t="n">
        <v>289061</v>
      </c>
      <c r="D1821" s="26" t="n">
        <v>6.942</v>
      </c>
      <c r="E1821" s="6" t="n">
        <v>712</v>
      </c>
      <c r="F1821" s="11" t="n">
        <v>77.3</v>
      </c>
      <c r="G1821" s="11" t="n">
        <v>41.2</v>
      </c>
      <c r="H1821" s="6" t="n">
        <v>17</v>
      </c>
      <c r="I1821" s="6" t="n">
        <v>163</v>
      </c>
      <c r="J1821" s="5" t="inlineStr">
        <is>
          <t>WA</t>
        </is>
      </c>
      <c r="K1821" s="5" t="inlineStr">
        <is>
          <t>Condo</t>
        </is>
      </c>
      <c r="L1821" s="5" t="inlineStr">
        <is>
          <t>Meridian Home Loans</t>
        </is>
      </c>
      <c r="M1821" s="5" t="inlineStr">
        <is>
          <t>Summit Loan Servicing</t>
        </is>
      </c>
    </row>
    <row r="1822">
      <c r="A1822" s="7" t="inlineStr">
        <is>
          <t>L101817</t>
        </is>
      </c>
      <c r="B1822" s="8" t="n">
        <v>336523.61</v>
      </c>
      <c r="C1822" s="8" t="n">
        <v>324971.49</v>
      </c>
      <c r="D1822" s="27" t="n">
        <v>6.389</v>
      </c>
      <c r="E1822" s="10" t="n">
        <v>725</v>
      </c>
      <c r="F1822" s="12" t="n">
        <v>70.8</v>
      </c>
      <c r="G1822" s="12" t="n">
        <v>27.7</v>
      </c>
      <c r="H1822" s="10" t="n">
        <v>34</v>
      </c>
      <c r="I1822" s="10" t="n">
        <v>326</v>
      </c>
      <c r="J1822" s="7" t="inlineStr">
        <is>
          <t>NC</t>
        </is>
      </c>
      <c r="K1822" s="7" t="inlineStr">
        <is>
          <t>SFR</t>
        </is>
      </c>
      <c r="L1822" s="7" t="inlineStr">
        <is>
          <t>Apex Funding</t>
        </is>
      </c>
      <c r="M1822" s="7" t="inlineStr">
        <is>
          <t>Pier Asset Mgmt</t>
        </is>
      </c>
    </row>
    <row r="1823">
      <c r="A1823" s="5" t="inlineStr">
        <is>
          <t>L101818</t>
        </is>
      </c>
      <c r="B1823" s="16" t="n">
        <v>287619.53</v>
      </c>
      <c r="C1823" s="16" t="n">
        <v>282688.8</v>
      </c>
      <c r="D1823" s="26" t="n">
        <v>6.154</v>
      </c>
      <c r="E1823" s="6" t="n">
        <v>801</v>
      </c>
      <c r="F1823" s="11" t="n">
        <v>79.3</v>
      </c>
      <c r="G1823" s="11" t="n">
        <v>39.7</v>
      </c>
      <c r="H1823" s="6" t="n">
        <v>5</v>
      </c>
      <c r="I1823" s="6" t="n">
        <v>175</v>
      </c>
      <c r="J1823" s="5" t="inlineStr">
        <is>
          <t>CA</t>
        </is>
      </c>
      <c r="K1823" s="5" t="inlineStr">
        <is>
          <t>Multifamily</t>
        </is>
      </c>
      <c r="L1823" s="5" t="inlineStr">
        <is>
          <t>Meridian Home Loans</t>
        </is>
      </c>
      <c r="M1823" s="5" t="inlineStr">
        <is>
          <t>Summit Loan Servicing</t>
        </is>
      </c>
    </row>
    <row r="1824">
      <c r="A1824" s="7" t="inlineStr">
        <is>
          <t>L101819</t>
        </is>
      </c>
      <c r="B1824" s="8" t="n">
        <v>221617.91</v>
      </c>
      <c r="C1824" s="8" t="n">
        <v>221125.59</v>
      </c>
      <c r="D1824" s="27" t="n">
        <v>5.434</v>
      </c>
      <c r="E1824" s="10" t="n">
        <v>698</v>
      </c>
      <c r="F1824" s="12" t="n">
        <v>78.09999999999999</v>
      </c>
      <c r="G1824" s="12" t="n">
        <v>47.1</v>
      </c>
      <c r="H1824" s="10" t="n">
        <v>2</v>
      </c>
      <c r="I1824" s="10" t="n">
        <v>358</v>
      </c>
      <c r="J1824" s="7" t="inlineStr">
        <is>
          <t>AZ</t>
        </is>
      </c>
      <c r="K1824" s="7" t="inlineStr">
        <is>
          <t>Condo</t>
        </is>
      </c>
      <c r="L1824" s="7" t="inlineStr">
        <is>
          <t>Meridian Home Loans</t>
        </is>
      </c>
      <c r="M1824" s="7" t="inlineStr">
        <is>
          <t>Summit Loan Servicing</t>
        </is>
      </c>
    </row>
    <row r="1825">
      <c r="A1825" s="5" t="inlineStr">
        <is>
          <t>L101820</t>
        </is>
      </c>
      <c r="B1825" s="16" t="n">
        <v>116111.79</v>
      </c>
      <c r="C1825" s="16" t="n">
        <v>111705.69</v>
      </c>
      <c r="D1825" s="26" t="n">
        <v>6.004</v>
      </c>
      <c r="E1825" s="6" t="n">
        <v>768</v>
      </c>
      <c r="F1825" s="11" t="n">
        <v>69.40000000000001</v>
      </c>
      <c r="G1825" s="11" t="n">
        <v>36.1</v>
      </c>
      <c r="H1825" s="6" t="n">
        <v>35</v>
      </c>
      <c r="I1825" s="6" t="n">
        <v>325</v>
      </c>
      <c r="J1825" s="5" t="inlineStr">
        <is>
          <t>IL</t>
        </is>
      </c>
      <c r="K1825" s="5" t="inlineStr">
        <is>
          <t>SFR</t>
        </is>
      </c>
      <c r="L1825" s="5" t="inlineStr">
        <is>
          <t>Highline Capital</t>
        </is>
      </c>
      <c r="M1825" s="5" t="inlineStr">
        <is>
          <t>Northgate Servicing</t>
        </is>
      </c>
    </row>
    <row r="1826">
      <c r="A1826" s="7" t="inlineStr">
        <is>
          <t>L101821</t>
        </is>
      </c>
      <c r="B1826" s="8" t="n">
        <v>317817.52</v>
      </c>
      <c r="C1826" s="8" t="n">
        <v>315213.34</v>
      </c>
      <c r="D1826" s="27" t="n">
        <v>5.211</v>
      </c>
      <c r="E1826" s="10" t="n">
        <v>783</v>
      </c>
      <c r="F1826" s="12" t="n">
        <v>58</v>
      </c>
      <c r="G1826" s="12" t="n">
        <v>44</v>
      </c>
      <c r="H1826" s="10" t="n">
        <v>7</v>
      </c>
      <c r="I1826" s="10" t="n">
        <v>353</v>
      </c>
      <c r="J1826" s="7" t="inlineStr">
        <is>
          <t>GA</t>
        </is>
      </c>
      <c r="K1826" s="7" t="inlineStr">
        <is>
          <t>Multifamily</t>
        </is>
      </c>
      <c r="L1826" s="7" t="inlineStr">
        <is>
          <t>Apex Funding</t>
        </is>
      </c>
      <c r="M1826" s="7" t="inlineStr">
        <is>
          <t>Pier Asset Mgmt</t>
        </is>
      </c>
    </row>
    <row r="1827">
      <c r="A1827" s="5" t="inlineStr">
        <is>
          <t>L101822</t>
        </is>
      </c>
      <c r="B1827" s="16" t="n">
        <v>372355.76</v>
      </c>
      <c r="C1827" s="16" t="n">
        <v>344738.49</v>
      </c>
      <c r="D1827" s="26" t="n">
        <v>5.639</v>
      </c>
      <c r="E1827" s="6" t="n">
        <v>711</v>
      </c>
      <c r="F1827" s="11" t="n">
        <v>75.8</v>
      </c>
      <c r="G1827" s="11" t="n">
        <v>37.2</v>
      </c>
      <c r="H1827" s="6" t="n">
        <v>20</v>
      </c>
      <c r="I1827" s="6" t="n">
        <v>160</v>
      </c>
      <c r="J1827" s="5" t="inlineStr">
        <is>
          <t>OH</t>
        </is>
      </c>
      <c r="K1827" s="5" t="inlineStr">
        <is>
          <t>2-4 Unit</t>
        </is>
      </c>
      <c r="L1827" s="5" t="inlineStr">
        <is>
          <t>Highline Capital</t>
        </is>
      </c>
      <c r="M1827" s="5" t="inlineStr">
        <is>
          <t>Summit Loan Servicing</t>
        </is>
      </c>
    </row>
    <row r="1828">
      <c r="A1828" s="7" t="inlineStr">
        <is>
          <t>L101823</t>
        </is>
      </c>
      <c r="B1828" s="8" t="n">
        <v>304247.09</v>
      </c>
      <c r="C1828" s="8" t="n">
        <v>294302.3</v>
      </c>
      <c r="D1828" s="27" t="n">
        <v>6.48</v>
      </c>
      <c r="E1828" s="10" t="n">
        <v>703</v>
      </c>
      <c r="F1828" s="12" t="n">
        <v>71.5</v>
      </c>
      <c r="G1828" s="12" t="n">
        <v>48.7</v>
      </c>
      <c r="H1828" s="10" t="n">
        <v>33</v>
      </c>
      <c r="I1828" s="10" t="n">
        <v>327</v>
      </c>
      <c r="J1828" s="7" t="inlineStr">
        <is>
          <t>OH</t>
        </is>
      </c>
      <c r="K1828" s="7" t="inlineStr">
        <is>
          <t>Condo</t>
        </is>
      </c>
      <c r="L1828" s="7" t="inlineStr">
        <is>
          <t>Highline Capital</t>
        </is>
      </c>
      <c r="M1828" s="7" t="inlineStr">
        <is>
          <t>Summit Loan Servicing</t>
        </is>
      </c>
    </row>
    <row r="1829">
      <c r="A1829" s="5" t="inlineStr">
        <is>
          <t>L101824</t>
        </is>
      </c>
      <c r="B1829" s="16" t="n">
        <v>178460.96</v>
      </c>
      <c r="C1829" s="16" t="n">
        <v>173988.36</v>
      </c>
      <c r="D1829" s="26" t="n">
        <v>6.294</v>
      </c>
      <c r="E1829" s="6" t="n">
        <v>697</v>
      </c>
      <c r="F1829" s="11" t="n">
        <v>51.3</v>
      </c>
      <c r="G1829" s="11" t="n">
        <v>27.5</v>
      </c>
      <c r="H1829" s="6" t="n">
        <v>25</v>
      </c>
      <c r="I1829" s="6" t="n">
        <v>335</v>
      </c>
      <c r="J1829" s="5" t="inlineStr">
        <is>
          <t>TX</t>
        </is>
      </c>
      <c r="K1829" s="5" t="inlineStr">
        <is>
          <t>Condo</t>
        </is>
      </c>
      <c r="L1829" s="5" t="inlineStr">
        <is>
          <t>Meridian Home Loans</t>
        </is>
      </c>
      <c r="M1829" s="5" t="inlineStr">
        <is>
          <t>Summit Loan Servicing</t>
        </is>
      </c>
    </row>
    <row r="1830">
      <c r="A1830" s="7" t="inlineStr">
        <is>
          <t>L101825</t>
        </is>
      </c>
      <c r="B1830" s="8" t="n">
        <v>307376.31</v>
      </c>
      <c r="C1830" s="8" t="n">
        <v>306382.82</v>
      </c>
      <c r="D1830" s="27" t="n">
        <v>9.157999999999999</v>
      </c>
      <c r="E1830" s="10" t="n">
        <v>701</v>
      </c>
      <c r="F1830" s="12" t="n">
        <v>80.09999999999999</v>
      </c>
      <c r="G1830" s="12" t="n">
        <v>35.9</v>
      </c>
      <c r="H1830" s="10" t="n">
        <v>6</v>
      </c>
      <c r="I1830" s="10" t="n">
        <v>354</v>
      </c>
      <c r="J1830" s="7" t="inlineStr">
        <is>
          <t>NY</t>
        </is>
      </c>
      <c r="K1830" s="7" t="inlineStr">
        <is>
          <t>SFR</t>
        </is>
      </c>
      <c r="L1830" s="7" t="inlineStr">
        <is>
          <t>Highline Capital</t>
        </is>
      </c>
      <c r="M1830" s="7" t="inlineStr">
        <is>
          <t>Pier Asset Mgmt</t>
        </is>
      </c>
    </row>
    <row r="1831">
      <c r="A1831" s="5" t="inlineStr">
        <is>
          <t>L101826</t>
        </is>
      </c>
      <c r="B1831" s="16" t="n">
        <v>328136.64</v>
      </c>
      <c r="C1831" s="16" t="n">
        <v>314225.72</v>
      </c>
      <c r="D1831" s="26" t="n">
        <v>5.189</v>
      </c>
      <c r="E1831" s="6" t="n">
        <v>762</v>
      </c>
      <c r="F1831" s="11" t="n">
        <v>85.59999999999999</v>
      </c>
      <c r="G1831" s="11" t="n">
        <v>41.4</v>
      </c>
      <c r="H1831" s="6" t="n">
        <v>34</v>
      </c>
      <c r="I1831" s="6" t="n">
        <v>326</v>
      </c>
      <c r="J1831" s="5" t="inlineStr">
        <is>
          <t>FL</t>
        </is>
      </c>
      <c r="K1831" s="5" t="inlineStr">
        <is>
          <t>SFR</t>
        </is>
      </c>
      <c r="L1831" s="5" t="inlineStr">
        <is>
          <t>Meridian Home Loans</t>
        </is>
      </c>
      <c r="M1831" s="5" t="inlineStr">
        <is>
          <t>Pier Asset Mgmt</t>
        </is>
      </c>
    </row>
    <row r="1832">
      <c r="A1832" s="7" t="inlineStr">
        <is>
          <t>L101827</t>
        </is>
      </c>
      <c r="B1832" s="8" t="n">
        <v>418983.03</v>
      </c>
      <c r="C1832" s="8" t="n">
        <v>417792.65</v>
      </c>
      <c r="D1832" s="27" t="n">
        <v>6.287</v>
      </c>
      <c r="E1832" s="10" t="n">
        <v>728</v>
      </c>
      <c r="F1832" s="12" t="n">
        <v>97</v>
      </c>
      <c r="G1832" s="12" t="n">
        <v>34.5</v>
      </c>
      <c r="H1832" s="10" t="n">
        <v>3</v>
      </c>
      <c r="I1832" s="10" t="n">
        <v>357</v>
      </c>
      <c r="J1832" s="7" t="inlineStr">
        <is>
          <t>WA</t>
        </is>
      </c>
      <c r="K1832" s="7" t="inlineStr">
        <is>
          <t>SFR</t>
        </is>
      </c>
      <c r="L1832" s="7" t="inlineStr">
        <is>
          <t>Coastal Mortgage Co</t>
        </is>
      </c>
      <c r="M1832" s="7" t="inlineStr">
        <is>
          <t>Pier Asset Mgmt</t>
        </is>
      </c>
    </row>
    <row r="1833">
      <c r="A1833" s="5" t="inlineStr">
        <is>
          <t>L101828</t>
        </is>
      </c>
      <c r="B1833" s="16" t="n">
        <v>178681.74</v>
      </c>
      <c r="C1833" s="16" t="n">
        <v>176321.69</v>
      </c>
      <c r="D1833" s="26" t="n">
        <v>5.119</v>
      </c>
      <c r="E1833" s="6" t="n">
        <v>728</v>
      </c>
      <c r="F1833" s="11" t="n">
        <v>69.3</v>
      </c>
      <c r="G1833" s="11" t="n">
        <v>45.2</v>
      </c>
      <c r="H1833" s="6" t="n">
        <v>11</v>
      </c>
      <c r="I1833" s="6" t="n">
        <v>349</v>
      </c>
      <c r="J1833" s="5" t="inlineStr">
        <is>
          <t>AZ</t>
        </is>
      </c>
      <c r="K1833" s="5" t="inlineStr">
        <is>
          <t>SFR</t>
        </is>
      </c>
      <c r="L1833" s="5" t="inlineStr">
        <is>
          <t>Coastal Mortgage Co</t>
        </is>
      </c>
      <c r="M1833" s="5" t="inlineStr">
        <is>
          <t>Summit Loan Servicing</t>
        </is>
      </c>
    </row>
    <row r="1834">
      <c r="A1834" s="7" t="inlineStr">
        <is>
          <t>L101829</t>
        </is>
      </c>
      <c r="B1834" s="8" t="n">
        <v>224300.26</v>
      </c>
      <c r="C1834" s="8" t="n">
        <v>222956.69</v>
      </c>
      <c r="D1834" s="27" t="n">
        <v>6.051</v>
      </c>
      <c r="E1834" s="10" t="n">
        <v>653</v>
      </c>
      <c r="F1834" s="12" t="n">
        <v>67.5</v>
      </c>
      <c r="G1834" s="12" t="n">
        <v>32.5</v>
      </c>
      <c r="H1834" s="10" t="n">
        <v>6</v>
      </c>
      <c r="I1834" s="10" t="n">
        <v>354</v>
      </c>
      <c r="J1834" s="7" t="inlineStr">
        <is>
          <t>NC</t>
        </is>
      </c>
      <c r="K1834" s="7" t="inlineStr">
        <is>
          <t>SFR</t>
        </is>
      </c>
      <c r="L1834" s="7" t="inlineStr">
        <is>
          <t>Meridian Home Loans</t>
        </is>
      </c>
      <c r="M1834" s="7" t="inlineStr">
        <is>
          <t>Pier Asset Mgmt</t>
        </is>
      </c>
    </row>
    <row r="1835">
      <c r="A1835" s="5" t="inlineStr">
        <is>
          <t>L101830</t>
        </is>
      </c>
      <c r="B1835" s="16" t="n">
        <v>315383.68</v>
      </c>
      <c r="C1835" s="16" t="n">
        <v>307177.06</v>
      </c>
      <c r="D1835" s="26" t="n">
        <v>6.088</v>
      </c>
      <c r="E1835" s="6" t="n">
        <v>662</v>
      </c>
      <c r="F1835" s="11" t="n">
        <v>60.7</v>
      </c>
      <c r="G1835" s="11" t="n">
        <v>52.6</v>
      </c>
      <c r="H1835" s="6" t="n">
        <v>25</v>
      </c>
      <c r="I1835" s="6" t="n">
        <v>335</v>
      </c>
      <c r="J1835" s="5" t="inlineStr">
        <is>
          <t>CA</t>
        </is>
      </c>
      <c r="K1835" s="5" t="inlineStr">
        <is>
          <t>SFR</t>
        </is>
      </c>
      <c r="L1835" s="5" t="inlineStr">
        <is>
          <t>Apex Funding</t>
        </is>
      </c>
      <c r="M1835" s="5" t="inlineStr">
        <is>
          <t>Summit Loan Servicing</t>
        </is>
      </c>
    </row>
    <row r="1836">
      <c r="A1836" s="7" t="inlineStr">
        <is>
          <t>L101831</t>
        </is>
      </c>
      <c r="B1836" s="8" t="n">
        <v>247729.7</v>
      </c>
      <c r="C1836" s="8" t="n">
        <v>219709.68</v>
      </c>
      <c r="D1836" s="27" t="n">
        <v>7.16</v>
      </c>
      <c r="E1836" s="10" t="n">
        <v>820</v>
      </c>
      <c r="F1836" s="12" t="n">
        <v>76.5</v>
      </c>
      <c r="G1836" s="12" t="n">
        <v>53</v>
      </c>
      <c r="H1836" s="10" t="n">
        <v>33</v>
      </c>
      <c r="I1836" s="10" t="n">
        <v>147</v>
      </c>
      <c r="J1836" s="7" t="inlineStr">
        <is>
          <t>OH</t>
        </is>
      </c>
      <c r="K1836" s="7" t="inlineStr">
        <is>
          <t>Multifamily</t>
        </is>
      </c>
      <c r="L1836" s="7" t="inlineStr">
        <is>
          <t>Meridian Home Loans</t>
        </is>
      </c>
      <c r="M1836" s="7" t="inlineStr">
        <is>
          <t>Pier Asset Mgmt</t>
        </is>
      </c>
    </row>
    <row r="1837">
      <c r="A1837" s="5" t="inlineStr">
        <is>
          <t>L101832</t>
        </is>
      </c>
      <c r="B1837" s="16" t="n">
        <v>164215.58</v>
      </c>
      <c r="C1837" s="16" t="n">
        <v>158743.78</v>
      </c>
      <c r="D1837" s="26" t="n">
        <v>5.995</v>
      </c>
      <c r="E1837" s="6" t="n">
        <v>705</v>
      </c>
      <c r="F1837" s="11" t="n">
        <v>76.40000000000001</v>
      </c>
      <c r="G1837" s="11" t="n">
        <v>38.3</v>
      </c>
      <c r="H1837" s="6" t="n">
        <v>31</v>
      </c>
      <c r="I1837" s="6" t="n">
        <v>329</v>
      </c>
      <c r="J1837" s="5" t="inlineStr">
        <is>
          <t>GA</t>
        </is>
      </c>
      <c r="K1837" s="5" t="inlineStr">
        <is>
          <t>SFR</t>
        </is>
      </c>
      <c r="L1837" s="5" t="inlineStr">
        <is>
          <t>Highline Capital</t>
        </is>
      </c>
      <c r="M1837" s="5" t="inlineStr">
        <is>
          <t>Pier Asset Mgmt</t>
        </is>
      </c>
    </row>
    <row r="1838">
      <c r="A1838" s="7" t="inlineStr">
        <is>
          <t>L101833</t>
        </is>
      </c>
      <c r="B1838" s="8" t="n">
        <v>280720.75</v>
      </c>
      <c r="C1838" s="8" t="n">
        <v>278818.91</v>
      </c>
      <c r="D1838" s="27" t="n">
        <v>6.228</v>
      </c>
      <c r="E1838" s="10" t="n">
        <v>672</v>
      </c>
      <c r="F1838" s="12" t="n">
        <v>64.3</v>
      </c>
      <c r="G1838" s="12" t="n">
        <v>40.4</v>
      </c>
      <c r="H1838" s="10" t="n">
        <v>7</v>
      </c>
      <c r="I1838" s="10" t="n">
        <v>353</v>
      </c>
      <c r="J1838" s="7" t="inlineStr">
        <is>
          <t>FL</t>
        </is>
      </c>
      <c r="K1838" s="7" t="inlineStr">
        <is>
          <t>2-4 Unit</t>
        </is>
      </c>
      <c r="L1838" s="7" t="inlineStr">
        <is>
          <t>Highline Capital</t>
        </is>
      </c>
      <c r="M1838" s="7" t="inlineStr">
        <is>
          <t>Pier Asset Mgmt</t>
        </is>
      </c>
    </row>
    <row r="1839">
      <c r="A1839" s="5" t="inlineStr">
        <is>
          <t>L101834</t>
        </is>
      </c>
      <c r="B1839" s="16" t="n">
        <v>297310.28</v>
      </c>
      <c r="C1839" s="16" t="n">
        <v>279236.4</v>
      </c>
      <c r="D1839" s="26" t="n">
        <v>6.013</v>
      </c>
      <c r="E1839" s="6" t="n">
        <v>794</v>
      </c>
      <c r="F1839" s="11" t="n">
        <v>71.90000000000001</v>
      </c>
      <c r="G1839" s="11" t="n">
        <v>45.5</v>
      </c>
      <c r="H1839" s="6" t="n">
        <v>17</v>
      </c>
      <c r="I1839" s="6" t="n">
        <v>163</v>
      </c>
      <c r="J1839" s="5" t="inlineStr">
        <is>
          <t>IL</t>
        </is>
      </c>
      <c r="K1839" s="5" t="inlineStr">
        <is>
          <t>SFR</t>
        </is>
      </c>
      <c r="L1839" s="5" t="inlineStr">
        <is>
          <t>Apex Funding</t>
        </is>
      </c>
      <c r="M1839" s="5" t="inlineStr">
        <is>
          <t>Pier Asset Mgmt</t>
        </is>
      </c>
    </row>
    <row r="1840">
      <c r="A1840" s="7" t="inlineStr">
        <is>
          <t>L101835</t>
        </is>
      </c>
      <c r="B1840" s="8" t="n">
        <v>250393.01</v>
      </c>
      <c r="C1840" s="8" t="n">
        <v>248314.01</v>
      </c>
      <c r="D1840" s="27" t="n">
        <v>5.139</v>
      </c>
      <c r="E1840" s="10" t="n">
        <v>730</v>
      </c>
      <c r="F1840" s="12" t="n">
        <v>50.3</v>
      </c>
      <c r="G1840" s="12" t="n">
        <v>26.5</v>
      </c>
      <c r="H1840" s="10" t="n">
        <v>7</v>
      </c>
      <c r="I1840" s="10" t="n">
        <v>353</v>
      </c>
      <c r="J1840" s="7" t="inlineStr">
        <is>
          <t>IL</t>
        </is>
      </c>
      <c r="K1840" s="7" t="inlineStr">
        <is>
          <t>SFR</t>
        </is>
      </c>
      <c r="L1840" s="7" t="inlineStr">
        <is>
          <t>Meridian Home Loans</t>
        </is>
      </c>
      <c r="M1840" s="7" t="inlineStr">
        <is>
          <t>Summit Loan Servicing</t>
        </is>
      </c>
    </row>
    <row r="1841">
      <c r="A1841" s="5" t="inlineStr">
        <is>
          <t>L101836</t>
        </is>
      </c>
      <c r="B1841" s="16" t="n">
        <v>262197.87</v>
      </c>
      <c r="C1841" s="16" t="n">
        <v>257416.86</v>
      </c>
      <c r="D1841" s="26" t="n">
        <v>5.813</v>
      </c>
      <c r="E1841" s="6" t="n">
        <v>747</v>
      </c>
      <c r="F1841" s="11" t="n">
        <v>85.09999999999999</v>
      </c>
      <c r="G1841" s="11" t="n">
        <v>25.5</v>
      </c>
      <c r="H1841" s="6" t="n">
        <v>17</v>
      </c>
      <c r="I1841" s="6" t="n">
        <v>343</v>
      </c>
      <c r="J1841" s="5" t="inlineStr">
        <is>
          <t>FL</t>
        </is>
      </c>
      <c r="K1841" s="5" t="inlineStr">
        <is>
          <t>SFR</t>
        </is>
      </c>
      <c r="L1841" s="5" t="inlineStr">
        <is>
          <t>Apex Funding</t>
        </is>
      </c>
      <c r="M1841" s="5" t="inlineStr">
        <is>
          <t>Northgate Servicing</t>
        </is>
      </c>
    </row>
    <row r="1842">
      <c r="A1842" s="7" t="inlineStr">
        <is>
          <t>L101837</t>
        </is>
      </c>
      <c r="B1842" s="8" t="n">
        <v>221782.61</v>
      </c>
      <c r="C1842" s="8" t="n">
        <v>213219.92</v>
      </c>
      <c r="D1842" s="27" t="n">
        <v>6.056</v>
      </c>
      <c r="E1842" s="10" t="n">
        <v>707</v>
      </c>
      <c r="F1842" s="12" t="n">
        <v>64.8</v>
      </c>
      <c r="G1842" s="12" t="n">
        <v>46.1</v>
      </c>
      <c r="H1842" s="10" t="n">
        <v>11</v>
      </c>
      <c r="I1842" s="10" t="n">
        <v>169</v>
      </c>
      <c r="J1842" s="7" t="inlineStr">
        <is>
          <t>WA</t>
        </is>
      </c>
      <c r="K1842" s="7" t="inlineStr">
        <is>
          <t>SFR</t>
        </is>
      </c>
      <c r="L1842" s="7" t="inlineStr">
        <is>
          <t>Apex Funding</t>
        </is>
      </c>
      <c r="M1842" s="7" t="inlineStr">
        <is>
          <t>Summit Loan Servicing</t>
        </is>
      </c>
    </row>
    <row r="1843">
      <c r="A1843" s="5" t="inlineStr">
        <is>
          <t>L101838</t>
        </is>
      </c>
      <c r="B1843" s="16" t="n">
        <v>407337.61</v>
      </c>
      <c r="C1843" s="16" t="n">
        <v>393101.86</v>
      </c>
      <c r="D1843" s="26" t="n">
        <v>6.466</v>
      </c>
      <c r="E1843" s="6" t="n">
        <v>697</v>
      </c>
      <c r="F1843" s="11" t="n">
        <v>73.59999999999999</v>
      </c>
      <c r="G1843" s="11" t="n">
        <v>38.2</v>
      </c>
      <c r="H1843" s="6" t="n">
        <v>35</v>
      </c>
      <c r="I1843" s="6" t="n">
        <v>325</v>
      </c>
      <c r="J1843" s="5" t="inlineStr">
        <is>
          <t>WA</t>
        </is>
      </c>
      <c r="K1843" s="5" t="inlineStr">
        <is>
          <t>SFR</t>
        </is>
      </c>
      <c r="L1843" s="5" t="inlineStr">
        <is>
          <t>Coastal Mortgage Co</t>
        </is>
      </c>
      <c r="M1843" s="5" t="inlineStr">
        <is>
          <t>Northgate Servicing</t>
        </is>
      </c>
    </row>
    <row r="1844">
      <c r="A1844" s="7" t="inlineStr">
        <is>
          <t>L101839</t>
        </is>
      </c>
      <c r="B1844" s="8" t="n">
        <v>177151</v>
      </c>
      <c r="C1844" s="8" t="n">
        <v>171249.5</v>
      </c>
      <c r="D1844" s="27" t="n">
        <v>6.903</v>
      </c>
      <c r="E1844" s="10" t="n">
        <v>706</v>
      </c>
      <c r="F1844" s="12" t="n">
        <v>56.9</v>
      </c>
      <c r="G1844" s="12" t="n">
        <v>34.2</v>
      </c>
      <c r="H1844" s="10" t="n">
        <v>36</v>
      </c>
      <c r="I1844" s="10" t="n">
        <v>324</v>
      </c>
      <c r="J1844" s="7" t="inlineStr">
        <is>
          <t>CA</t>
        </is>
      </c>
      <c r="K1844" s="7" t="inlineStr">
        <is>
          <t>SFR</t>
        </is>
      </c>
      <c r="L1844" s="7" t="inlineStr">
        <is>
          <t>Coastal Mortgage Co</t>
        </is>
      </c>
      <c r="M1844" s="7" t="inlineStr">
        <is>
          <t>Northgate Servicing</t>
        </is>
      </c>
    </row>
    <row r="1845">
      <c r="A1845" s="5" t="inlineStr">
        <is>
          <t>L101840</t>
        </is>
      </c>
      <c r="B1845" s="16" t="n">
        <v>197686.5</v>
      </c>
      <c r="C1845" s="16" t="n">
        <v>168873.67</v>
      </c>
      <c r="D1845" s="26" t="n">
        <v>6.189</v>
      </c>
      <c r="E1845" s="6" t="n">
        <v>639</v>
      </c>
      <c r="F1845" s="11" t="n">
        <v>67</v>
      </c>
      <c r="G1845" s="11" t="n">
        <v>36.1</v>
      </c>
      <c r="H1845" s="6" t="n">
        <v>39</v>
      </c>
      <c r="I1845" s="6" t="n">
        <v>141</v>
      </c>
      <c r="J1845" s="5" t="inlineStr">
        <is>
          <t>WA</t>
        </is>
      </c>
      <c r="K1845" s="5" t="inlineStr">
        <is>
          <t>Condo</t>
        </is>
      </c>
      <c r="L1845" s="5" t="inlineStr">
        <is>
          <t>Coastal Mortgage Co</t>
        </is>
      </c>
      <c r="M1845" s="5" t="inlineStr">
        <is>
          <t>Pier Asset Mgmt</t>
        </is>
      </c>
    </row>
    <row r="1846">
      <c r="A1846" s="7" t="inlineStr">
        <is>
          <t>L101841</t>
        </is>
      </c>
      <c r="B1846" s="8" t="n">
        <v>243736.97</v>
      </c>
      <c r="C1846" s="8" t="n">
        <v>241334.66</v>
      </c>
      <c r="D1846" s="27" t="n">
        <v>6.173</v>
      </c>
      <c r="E1846" s="10" t="n">
        <v>710</v>
      </c>
      <c r="F1846" s="12" t="n">
        <v>70.59999999999999</v>
      </c>
      <c r="G1846" s="12" t="n">
        <v>16.9</v>
      </c>
      <c r="H1846" s="10" t="n">
        <v>10</v>
      </c>
      <c r="I1846" s="10" t="n">
        <v>350</v>
      </c>
      <c r="J1846" s="7" t="inlineStr">
        <is>
          <t>IL</t>
        </is>
      </c>
      <c r="K1846" s="7" t="inlineStr">
        <is>
          <t>SFR</t>
        </is>
      </c>
      <c r="L1846" s="7" t="inlineStr">
        <is>
          <t>Highline Capital</t>
        </is>
      </c>
      <c r="M1846" s="7" t="inlineStr">
        <is>
          <t>Northgate Servicing</t>
        </is>
      </c>
    </row>
    <row r="1847">
      <c r="A1847" s="5" t="inlineStr">
        <is>
          <t>L101842</t>
        </is>
      </c>
      <c r="B1847" s="16" t="n">
        <v>330259.47</v>
      </c>
      <c r="C1847" s="16" t="n">
        <v>329851.6</v>
      </c>
      <c r="D1847" s="26" t="n">
        <v>4.851</v>
      </c>
      <c r="E1847" s="6" t="n">
        <v>731</v>
      </c>
      <c r="F1847" s="11" t="n">
        <v>73.90000000000001</v>
      </c>
      <c r="G1847" s="11" t="n">
        <v>34.5</v>
      </c>
      <c r="H1847" s="6" t="n">
        <v>1</v>
      </c>
      <c r="I1847" s="6" t="n">
        <v>359</v>
      </c>
      <c r="J1847" s="5" t="inlineStr">
        <is>
          <t>AZ</t>
        </is>
      </c>
      <c r="K1847" s="5" t="inlineStr">
        <is>
          <t>SFR</t>
        </is>
      </c>
      <c r="L1847" s="5" t="inlineStr">
        <is>
          <t>Meridian Home Loans</t>
        </is>
      </c>
      <c r="M1847" s="5" t="inlineStr">
        <is>
          <t>Pier Asset Mgmt</t>
        </is>
      </c>
    </row>
    <row r="1848">
      <c r="A1848" s="7" t="inlineStr">
        <is>
          <t>L101843</t>
        </is>
      </c>
      <c r="B1848" s="8" t="n">
        <v>143762.71</v>
      </c>
      <c r="C1848" s="8" t="n">
        <v>143520.99</v>
      </c>
      <c r="D1848" s="27" t="n">
        <v>6.886</v>
      </c>
      <c r="E1848" s="10" t="n">
        <v>817</v>
      </c>
      <c r="F1848" s="12" t="n">
        <v>79.8</v>
      </c>
      <c r="G1848" s="12" t="n">
        <v>30</v>
      </c>
      <c r="H1848" s="10" t="n">
        <v>2</v>
      </c>
      <c r="I1848" s="10" t="n">
        <v>358</v>
      </c>
      <c r="J1848" s="7" t="inlineStr">
        <is>
          <t>AZ</t>
        </is>
      </c>
      <c r="K1848" s="7" t="inlineStr">
        <is>
          <t>SFR</t>
        </is>
      </c>
      <c r="L1848" s="7" t="inlineStr">
        <is>
          <t>Apex Funding</t>
        </is>
      </c>
      <c r="M1848" s="7" t="inlineStr">
        <is>
          <t>Summit Loan Servicing</t>
        </is>
      </c>
    </row>
    <row r="1849">
      <c r="A1849" s="5" t="inlineStr">
        <is>
          <t>L101844</t>
        </is>
      </c>
      <c r="B1849" s="16" t="n">
        <v>153490.84</v>
      </c>
      <c r="C1849" s="16" t="n">
        <v>146472.92</v>
      </c>
      <c r="D1849" s="26" t="n">
        <v>5.774</v>
      </c>
      <c r="E1849" s="6" t="n">
        <v>720</v>
      </c>
      <c r="F1849" s="11" t="n">
        <v>91.3</v>
      </c>
      <c r="G1849" s="11" t="n">
        <v>43.3</v>
      </c>
      <c r="H1849" s="6" t="n">
        <v>40</v>
      </c>
      <c r="I1849" s="6" t="n">
        <v>320</v>
      </c>
      <c r="J1849" s="5" t="inlineStr">
        <is>
          <t>GA</t>
        </is>
      </c>
      <c r="K1849" s="5" t="inlineStr">
        <is>
          <t>SFR</t>
        </is>
      </c>
      <c r="L1849" s="5" t="inlineStr">
        <is>
          <t>Coastal Mortgage Co</t>
        </is>
      </c>
      <c r="M1849" s="5" t="inlineStr">
        <is>
          <t>Summit Loan Servicing</t>
        </is>
      </c>
    </row>
    <row r="1850">
      <c r="A1850" s="7" t="inlineStr">
        <is>
          <t>L101845</t>
        </is>
      </c>
      <c r="B1850" s="8" t="n">
        <v>118990.03</v>
      </c>
      <c r="C1850" s="8" t="n">
        <v>114299.77</v>
      </c>
      <c r="D1850" s="27" t="n">
        <v>7.072</v>
      </c>
      <c r="E1850" s="10" t="n">
        <v>587</v>
      </c>
      <c r="F1850" s="12" t="n">
        <v>82.8</v>
      </c>
      <c r="G1850" s="12" t="n">
        <v>44</v>
      </c>
      <c r="H1850" s="10" t="n">
        <v>43</v>
      </c>
      <c r="I1850" s="10" t="n">
        <v>317</v>
      </c>
      <c r="J1850" s="7" t="inlineStr">
        <is>
          <t>AZ</t>
        </is>
      </c>
      <c r="K1850" s="7" t="inlineStr">
        <is>
          <t>SFR</t>
        </is>
      </c>
      <c r="L1850" s="7" t="inlineStr">
        <is>
          <t>Apex Funding</t>
        </is>
      </c>
      <c r="M1850" s="7" t="inlineStr">
        <is>
          <t>Pier Asset Mgmt</t>
        </is>
      </c>
    </row>
    <row r="1851">
      <c r="A1851" s="5" t="inlineStr">
        <is>
          <t>L101846</t>
        </is>
      </c>
      <c r="B1851" s="16" t="n">
        <v>245596.03</v>
      </c>
      <c r="C1851" s="16" t="n">
        <v>243752.31</v>
      </c>
      <c r="D1851" s="26" t="n">
        <v>7.585</v>
      </c>
      <c r="E1851" s="6" t="n">
        <v>710</v>
      </c>
      <c r="F1851" s="11" t="n">
        <v>85.5</v>
      </c>
      <c r="G1851" s="11" t="n">
        <v>40.6</v>
      </c>
      <c r="H1851" s="6" t="n">
        <v>10</v>
      </c>
      <c r="I1851" s="6" t="n">
        <v>350</v>
      </c>
      <c r="J1851" s="5" t="inlineStr">
        <is>
          <t>NC</t>
        </is>
      </c>
      <c r="K1851" s="5" t="inlineStr">
        <is>
          <t>SFR</t>
        </is>
      </c>
      <c r="L1851" s="5" t="inlineStr">
        <is>
          <t>Meridian Home Loans</t>
        </is>
      </c>
      <c r="M1851" s="5" t="inlineStr">
        <is>
          <t>Summit Loan Servicing</t>
        </is>
      </c>
    </row>
    <row r="1852">
      <c r="A1852" s="7" t="inlineStr">
        <is>
          <t>L101847</t>
        </is>
      </c>
      <c r="B1852" s="8" t="n">
        <v>164159.36</v>
      </c>
      <c r="C1852" s="8" t="n">
        <v>156843.55</v>
      </c>
      <c r="D1852" s="27" t="n">
        <v>6.231</v>
      </c>
      <c r="E1852" s="10" t="n">
        <v>820</v>
      </c>
      <c r="F1852" s="12" t="n">
        <v>91.40000000000001</v>
      </c>
      <c r="G1852" s="12" t="n">
        <v>39.2</v>
      </c>
      <c r="H1852" s="10" t="n">
        <v>42</v>
      </c>
      <c r="I1852" s="10" t="n">
        <v>318</v>
      </c>
      <c r="J1852" s="7" t="inlineStr">
        <is>
          <t>OH</t>
        </is>
      </c>
      <c r="K1852" s="7" t="inlineStr">
        <is>
          <t>Condo</t>
        </is>
      </c>
      <c r="L1852" s="7" t="inlineStr">
        <is>
          <t>Highline Capital</t>
        </is>
      </c>
      <c r="M1852" s="7" t="inlineStr">
        <is>
          <t>Pier Asset Mgmt</t>
        </is>
      </c>
    </row>
    <row r="1853">
      <c r="A1853" s="5" t="inlineStr">
        <is>
          <t>L101848</t>
        </is>
      </c>
      <c r="B1853" s="16" t="n">
        <v>212226.09</v>
      </c>
      <c r="C1853" s="16" t="n">
        <v>206064.86</v>
      </c>
      <c r="D1853" s="26" t="n">
        <v>5.479</v>
      </c>
      <c r="E1853" s="6" t="n">
        <v>763</v>
      </c>
      <c r="F1853" s="11" t="n">
        <v>80.8</v>
      </c>
      <c r="G1853" s="11" t="n">
        <v>24</v>
      </c>
      <c r="H1853" s="6" t="n">
        <v>25</v>
      </c>
      <c r="I1853" s="6" t="n">
        <v>335</v>
      </c>
      <c r="J1853" s="5" t="inlineStr">
        <is>
          <t>IL</t>
        </is>
      </c>
      <c r="K1853" s="5" t="inlineStr">
        <is>
          <t>Condo</t>
        </is>
      </c>
      <c r="L1853" s="5" t="inlineStr">
        <is>
          <t>Coastal Mortgage Co</t>
        </is>
      </c>
      <c r="M1853" s="5" t="inlineStr">
        <is>
          <t>Northgate Servicing</t>
        </is>
      </c>
    </row>
    <row r="1854">
      <c r="A1854" s="7" t="inlineStr">
        <is>
          <t>L101849</t>
        </is>
      </c>
      <c r="B1854" s="8" t="n">
        <v>306043.45</v>
      </c>
      <c r="C1854" s="8" t="n">
        <v>303442.4</v>
      </c>
      <c r="D1854" s="27" t="n">
        <v>6.385</v>
      </c>
      <c r="E1854" s="10" t="n">
        <v>670</v>
      </c>
      <c r="F1854" s="12" t="n">
        <v>73.59999999999999</v>
      </c>
      <c r="G1854" s="12" t="n">
        <v>40.7</v>
      </c>
      <c r="H1854" s="10" t="n">
        <v>9</v>
      </c>
      <c r="I1854" s="10" t="n">
        <v>351</v>
      </c>
      <c r="J1854" s="7" t="inlineStr">
        <is>
          <t>AZ</t>
        </is>
      </c>
      <c r="K1854" s="7" t="inlineStr">
        <is>
          <t>2-4 Unit</t>
        </is>
      </c>
      <c r="L1854" s="7" t="inlineStr">
        <is>
          <t>Highline Capital</t>
        </is>
      </c>
      <c r="M1854" s="7" t="inlineStr">
        <is>
          <t>Pier Asset Mgmt</t>
        </is>
      </c>
    </row>
    <row r="1855">
      <c r="A1855" s="5" t="inlineStr">
        <is>
          <t>L101850</t>
        </is>
      </c>
      <c r="B1855" s="16" t="n">
        <v>193970.24</v>
      </c>
      <c r="C1855" s="16" t="n">
        <v>191346.22</v>
      </c>
      <c r="D1855" s="26" t="n">
        <v>6.714</v>
      </c>
      <c r="E1855" s="6" t="n">
        <v>748</v>
      </c>
      <c r="F1855" s="11" t="n">
        <v>86.09999999999999</v>
      </c>
      <c r="G1855" s="11" t="n">
        <v>41</v>
      </c>
      <c r="H1855" s="6" t="n">
        <v>15</v>
      </c>
      <c r="I1855" s="6" t="n">
        <v>345</v>
      </c>
      <c r="J1855" s="5" t="inlineStr">
        <is>
          <t>WA</t>
        </is>
      </c>
      <c r="K1855" s="5" t="inlineStr">
        <is>
          <t>Condo</t>
        </is>
      </c>
      <c r="L1855" s="5" t="inlineStr">
        <is>
          <t>Meridian Home Loans</t>
        </is>
      </c>
      <c r="M1855" s="5" t="inlineStr">
        <is>
          <t>Northgate Servicing</t>
        </is>
      </c>
    </row>
    <row r="1856">
      <c r="A1856" s="7" t="inlineStr">
        <is>
          <t>L101851</t>
        </is>
      </c>
      <c r="B1856" s="8" t="n">
        <v>263273.5</v>
      </c>
      <c r="C1856" s="8" t="n">
        <v>259837.41</v>
      </c>
      <c r="D1856" s="27" t="n">
        <v>6.116</v>
      </c>
      <c r="E1856" s="10" t="n">
        <v>674</v>
      </c>
      <c r="F1856" s="12" t="n">
        <v>86.90000000000001</v>
      </c>
      <c r="G1856" s="12" t="n">
        <v>46</v>
      </c>
      <c r="H1856" s="10" t="n">
        <v>13</v>
      </c>
      <c r="I1856" s="10" t="n">
        <v>347</v>
      </c>
      <c r="J1856" s="7" t="inlineStr">
        <is>
          <t>WA</t>
        </is>
      </c>
      <c r="K1856" s="7" t="inlineStr">
        <is>
          <t>SFR</t>
        </is>
      </c>
      <c r="L1856" s="7" t="inlineStr">
        <is>
          <t>Apex Funding</t>
        </is>
      </c>
      <c r="M1856" s="7" t="inlineStr">
        <is>
          <t>Northgate Servicing</t>
        </is>
      </c>
    </row>
    <row r="1857">
      <c r="A1857" s="5" t="inlineStr">
        <is>
          <t>L101852</t>
        </is>
      </c>
      <c r="B1857" s="16" t="n">
        <v>218650.91</v>
      </c>
      <c r="C1857" s="16" t="n">
        <v>209924.4</v>
      </c>
      <c r="D1857" s="26" t="n">
        <v>5.892</v>
      </c>
      <c r="E1857" s="6" t="n">
        <v>641</v>
      </c>
      <c r="F1857" s="11" t="n">
        <v>81.8</v>
      </c>
      <c r="G1857" s="11" t="n">
        <v>52.9</v>
      </c>
      <c r="H1857" s="6" t="n">
        <v>36</v>
      </c>
      <c r="I1857" s="6" t="n">
        <v>324</v>
      </c>
      <c r="J1857" s="5" t="inlineStr">
        <is>
          <t>TX</t>
        </is>
      </c>
      <c r="K1857" s="5" t="inlineStr">
        <is>
          <t>SFR</t>
        </is>
      </c>
      <c r="L1857" s="5" t="inlineStr">
        <is>
          <t>Apex Funding</t>
        </is>
      </c>
      <c r="M1857" s="5" t="inlineStr">
        <is>
          <t>Pier Asset Mgmt</t>
        </is>
      </c>
    </row>
    <row r="1858">
      <c r="A1858" s="7" t="inlineStr">
        <is>
          <t>L101853</t>
        </is>
      </c>
      <c r="B1858" s="8" t="n">
        <v>307195.62</v>
      </c>
      <c r="C1858" s="8" t="n">
        <v>298197</v>
      </c>
      <c r="D1858" s="27" t="n">
        <v>6.907</v>
      </c>
      <c r="E1858" s="10" t="n">
        <v>696</v>
      </c>
      <c r="F1858" s="12" t="n">
        <v>56.5</v>
      </c>
      <c r="G1858" s="12" t="n">
        <v>22.5</v>
      </c>
      <c r="H1858" s="10" t="n">
        <v>9</v>
      </c>
      <c r="I1858" s="10" t="n">
        <v>171</v>
      </c>
      <c r="J1858" s="7" t="inlineStr">
        <is>
          <t>IL</t>
        </is>
      </c>
      <c r="K1858" s="7" t="inlineStr">
        <is>
          <t>SFR</t>
        </is>
      </c>
      <c r="L1858" s="7" t="inlineStr">
        <is>
          <t>Highline Capital</t>
        </is>
      </c>
      <c r="M1858" s="7" t="inlineStr">
        <is>
          <t>Pier Asset Mgmt</t>
        </is>
      </c>
    </row>
    <row r="1859">
      <c r="A1859" s="5" t="inlineStr">
        <is>
          <t>L101854</t>
        </is>
      </c>
      <c r="B1859" s="16" t="n">
        <v>286729.58</v>
      </c>
      <c r="C1859" s="16" t="n">
        <v>284499.64</v>
      </c>
      <c r="D1859" s="26" t="n">
        <v>6.848</v>
      </c>
      <c r="E1859" s="6" t="n">
        <v>720</v>
      </c>
      <c r="F1859" s="11" t="n">
        <v>63.9</v>
      </c>
      <c r="G1859" s="11" t="n">
        <v>32.9</v>
      </c>
      <c r="H1859" s="6" t="n">
        <v>9</v>
      </c>
      <c r="I1859" s="6" t="n">
        <v>351</v>
      </c>
      <c r="J1859" s="5" t="inlineStr">
        <is>
          <t>GA</t>
        </is>
      </c>
      <c r="K1859" s="5" t="inlineStr">
        <is>
          <t>SFR</t>
        </is>
      </c>
      <c r="L1859" s="5" t="inlineStr">
        <is>
          <t>Meridian Home Loans</t>
        </is>
      </c>
      <c r="M1859" s="5" t="inlineStr">
        <is>
          <t>Summit Loan Servicing</t>
        </is>
      </c>
    </row>
    <row r="1860">
      <c r="A1860" s="7" t="inlineStr">
        <is>
          <t>L101855</t>
        </is>
      </c>
      <c r="B1860" s="8" t="n">
        <v>190579.21</v>
      </c>
      <c r="C1860" s="8" t="n">
        <v>183675.62</v>
      </c>
      <c r="D1860" s="27" t="n">
        <v>6.088</v>
      </c>
      <c r="E1860" s="10" t="n">
        <v>612</v>
      </c>
      <c r="F1860" s="12" t="n">
        <v>70.7</v>
      </c>
      <c r="G1860" s="12" t="n">
        <v>30.1</v>
      </c>
      <c r="H1860" s="10" t="n">
        <v>34</v>
      </c>
      <c r="I1860" s="10" t="n">
        <v>326</v>
      </c>
      <c r="J1860" s="7" t="inlineStr">
        <is>
          <t>NC</t>
        </is>
      </c>
      <c r="K1860" s="7" t="inlineStr">
        <is>
          <t>SFR</t>
        </is>
      </c>
      <c r="L1860" s="7" t="inlineStr">
        <is>
          <t>Apex Funding</t>
        </is>
      </c>
      <c r="M1860" s="7" t="inlineStr">
        <is>
          <t>Pier Asset Mgmt</t>
        </is>
      </c>
    </row>
    <row r="1861">
      <c r="A1861" s="5" t="inlineStr">
        <is>
          <t>L101856</t>
        </is>
      </c>
      <c r="B1861" s="16" t="n">
        <v>228884.29</v>
      </c>
      <c r="C1861" s="16" t="n">
        <v>224568.42</v>
      </c>
      <c r="D1861" s="26" t="n">
        <v>4.911</v>
      </c>
      <c r="E1861" s="6" t="n">
        <v>652</v>
      </c>
      <c r="F1861" s="11" t="n">
        <v>83.40000000000001</v>
      </c>
      <c r="G1861" s="11" t="n">
        <v>37.4</v>
      </c>
      <c r="H1861" s="6" t="n">
        <v>15</v>
      </c>
      <c r="I1861" s="6" t="n">
        <v>345</v>
      </c>
      <c r="J1861" s="5" t="inlineStr">
        <is>
          <t>NC</t>
        </is>
      </c>
      <c r="K1861" s="5" t="inlineStr">
        <is>
          <t>SFR</t>
        </is>
      </c>
      <c r="L1861" s="5" t="inlineStr">
        <is>
          <t>Meridian Home Loans</t>
        </is>
      </c>
      <c r="M1861" s="5" t="inlineStr">
        <is>
          <t>Northgate Servicing</t>
        </is>
      </c>
    </row>
    <row r="1862">
      <c r="A1862" s="7" t="inlineStr">
        <is>
          <t>L101857</t>
        </is>
      </c>
      <c r="B1862" s="8" t="n">
        <v>349867.64</v>
      </c>
      <c r="C1862" s="8" t="n">
        <v>346182.21</v>
      </c>
      <c r="D1862" s="27" t="n">
        <v>6.811</v>
      </c>
      <c r="E1862" s="10" t="n">
        <v>716</v>
      </c>
      <c r="F1862" s="12" t="n">
        <v>73.7</v>
      </c>
      <c r="G1862" s="12" t="n">
        <v>36.1</v>
      </c>
      <c r="H1862" s="10" t="n">
        <v>12</v>
      </c>
      <c r="I1862" s="10" t="n">
        <v>348</v>
      </c>
      <c r="J1862" s="7" t="inlineStr">
        <is>
          <t>OH</t>
        </is>
      </c>
      <c r="K1862" s="7" t="inlineStr">
        <is>
          <t>Multifamily</t>
        </is>
      </c>
      <c r="L1862" s="7" t="inlineStr">
        <is>
          <t>Coastal Mortgage Co</t>
        </is>
      </c>
      <c r="M1862" s="7" t="inlineStr">
        <is>
          <t>Pier Asset Mgmt</t>
        </is>
      </c>
    </row>
    <row r="1863">
      <c r="A1863" s="5" t="inlineStr">
        <is>
          <t>L101858</t>
        </is>
      </c>
      <c r="B1863" s="16" t="n">
        <v>278641.67</v>
      </c>
      <c r="C1863" s="16" t="n">
        <v>266461.51</v>
      </c>
      <c r="D1863" s="26" t="n">
        <v>5.709</v>
      </c>
      <c r="E1863" s="6" t="n">
        <v>693</v>
      </c>
      <c r="F1863" s="11" t="n">
        <v>87.59999999999999</v>
      </c>
      <c r="G1863" s="11" t="n">
        <v>34.1</v>
      </c>
      <c r="H1863" s="6" t="n">
        <v>38</v>
      </c>
      <c r="I1863" s="6" t="n">
        <v>322</v>
      </c>
      <c r="J1863" s="5" t="inlineStr">
        <is>
          <t>GA</t>
        </is>
      </c>
      <c r="K1863" s="5" t="inlineStr">
        <is>
          <t>SFR</t>
        </is>
      </c>
      <c r="L1863" s="5" t="inlineStr">
        <is>
          <t>Meridian Home Loans</t>
        </is>
      </c>
      <c r="M1863" s="5" t="inlineStr">
        <is>
          <t>Northgate Servicing</t>
        </is>
      </c>
    </row>
    <row r="1864">
      <c r="A1864" s="7" t="inlineStr">
        <is>
          <t>L101859</t>
        </is>
      </c>
      <c r="B1864" s="8" t="n">
        <v>148904.92</v>
      </c>
      <c r="C1864" s="8" t="n">
        <v>142345.17</v>
      </c>
      <c r="D1864" s="27" t="n">
        <v>6.593</v>
      </c>
      <c r="E1864" s="10" t="n">
        <v>737</v>
      </c>
      <c r="F1864" s="12" t="n">
        <v>89.8</v>
      </c>
      <c r="G1864" s="12" t="n">
        <v>44.2</v>
      </c>
      <c r="H1864" s="10" t="n">
        <v>44</v>
      </c>
      <c r="I1864" s="10" t="n">
        <v>316</v>
      </c>
      <c r="J1864" s="7" t="inlineStr">
        <is>
          <t>AZ</t>
        </is>
      </c>
      <c r="K1864" s="7" t="inlineStr">
        <is>
          <t>SFR</t>
        </is>
      </c>
      <c r="L1864" s="7" t="inlineStr">
        <is>
          <t>Meridian Home Loans</t>
        </is>
      </c>
      <c r="M1864" s="7" t="inlineStr">
        <is>
          <t>Pier Asset Mgmt</t>
        </is>
      </c>
    </row>
    <row r="1865">
      <c r="A1865" s="5" t="inlineStr">
        <is>
          <t>L101860</t>
        </is>
      </c>
      <c r="B1865" s="16" t="n">
        <v>305427.07</v>
      </c>
      <c r="C1865" s="16" t="n">
        <v>297475.33</v>
      </c>
      <c r="D1865" s="26" t="n">
        <v>6.536</v>
      </c>
      <c r="E1865" s="6" t="n">
        <v>648</v>
      </c>
      <c r="F1865" s="11" t="n">
        <v>88.40000000000001</v>
      </c>
      <c r="G1865" s="11" t="n">
        <v>27.2</v>
      </c>
      <c r="H1865" s="6" t="n">
        <v>27</v>
      </c>
      <c r="I1865" s="6" t="n">
        <v>333</v>
      </c>
      <c r="J1865" s="5" t="inlineStr">
        <is>
          <t>OH</t>
        </is>
      </c>
      <c r="K1865" s="5" t="inlineStr">
        <is>
          <t>Multifamily</t>
        </is>
      </c>
      <c r="L1865" s="5" t="inlineStr">
        <is>
          <t>Highline Capital</t>
        </is>
      </c>
      <c r="M1865" s="5" t="inlineStr">
        <is>
          <t>Northgate Servicing</t>
        </is>
      </c>
    </row>
    <row r="1866">
      <c r="A1866" s="7" t="inlineStr">
        <is>
          <t>L101861</t>
        </is>
      </c>
      <c r="B1866" s="8" t="n">
        <v>166106.81</v>
      </c>
      <c r="C1866" s="8" t="n">
        <v>157238.66</v>
      </c>
      <c r="D1866" s="27" t="n">
        <v>4.7</v>
      </c>
      <c r="E1866" s="10" t="n">
        <v>754</v>
      </c>
      <c r="F1866" s="12" t="n">
        <v>88.5</v>
      </c>
      <c r="G1866" s="12" t="n">
        <v>27.7</v>
      </c>
      <c r="H1866" s="10" t="n">
        <v>39</v>
      </c>
      <c r="I1866" s="10" t="n">
        <v>321</v>
      </c>
      <c r="J1866" s="7" t="inlineStr">
        <is>
          <t>TX</t>
        </is>
      </c>
      <c r="K1866" s="7" t="inlineStr">
        <is>
          <t>SFR</t>
        </is>
      </c>
      <c r="L1866" s="7" t="inlineStr">
        <is>
          <t>Apex Funding</t>
        </is>
      </c>
      <c r="M1866" s="7" t="inlineStr">
        <is>
          <t>Summit Loan Servicing</t>
        </is>
      </c>
    </row>
    <row r="1867">
      <c r="A1867" s="5" t="inlineStr">
        <is>
          <t>L101862</t>
        </is>
      </c>
      <c r="B1867" s="16" t="n">
        <v>398068.58</v>
      </c>
      <c r="C1867" s="16" t="n">
        <v>339562.58</v>
      </c>
      <c r="D1867" s="26" t="n">
        <v>6.473</v>
      </c>
      <c r="E1867" s="6" t="n">
        <v>650</v>
      </c>
      <c r="F1867" s="11" t="n">
        <v>61.6</v>
      </c>
      <c r="G1867" s="11" t="n">
        <v>27.8</v>
      </c>
      <c r="H1867" s="6" t="n">
        <v>40</v>
      </c>
      <c r="I1867" s="6" t="n">
        <v>140</v>
      </c>
      <c r="J1867" s="5" t="inlineStr">
        <is>
          <t>NC</t>
        </is>
      </c>
      <c r="K1867" s="5" t="inlineStr">
        <is>
          <t>SFR</t>
        </is>
      </c>
      <c r="L1867" s="5" t="inlineStr">
        <is>
          <t>Highline Capital</t>
        </is>
      </c>
      <c r="M1867" s="5" t="inlineStr">
        <is>
          <t>Pier Asset Mgmt</t>
        </is>
      </c>
    </row>
    <row r="1868">
      <c r="A1868" s="7" t="inlineStr">
        <is>
          <t>L101863</t>
        </is>
      </c>
      <c r="B1868" s="8" t="n">
        <v>347470.34</v>
      </c>
      <c r="C1868" s="8" t="n">
        <v>338612.28</v>
      </c>
      <c r="D1868" s="27" t="n">
        <v>6.863</v>
      </c>
      <c r="E1868" s="10" t="n">
        <v>805</v>
      </c>
      <c r="F1868" s="12" t="n">
        <v>79.8</v>
      </c>
      <c r="G1868" s="12" t="n">
        <v>33.1</v>
      </c>
      <c r="H1868" s="10" t="n">
        <v>28</v>
      </c>
      <c r="I1868" s="10" t="n">
        <v>332</v>
      </c>
      <c r="J1868" s="7" t="inlineStr">
        <is>
          <t>NY</t>
        </is>
      </c>
      <c r="K1868" s="7" t="inlineStr">
        <is>
          <t>SFR</t>
        </is>
      </c>
      <c r="L1868" s="7" t="inlineStr">
        <is>
          <t>Apex Funding</t>
        </is>
      </c>
      <c r="M1868" s="7" t="inlineStr">
        <is>
          <t>Summit Loan Servicing</t>
        </is>
      </c>
    </row>
    <row r="1869">
      <c r="A1869" s="5" t="inlineStr">
        <is>
          <t>L101864</t>
        </is>
      </c>
      <c r="B1869" s="16" t="n">
        <v>268729.32</v>
      </c>
      <c r="C1869" s="16" t="n">
        <v>259067.13</v>
      </c>
      <c r="D1869" s="26" t="n">
        <v>6.973</v>
      </c>
      <c r="E1869" s="6" t="n">
        <v>621</v>
      </c>
      <c r="F1869" s="11" t="n">
        <v>66.7</v>
      </c>
      <c r="G1869" s="11" t="n">
        <v>26.2</v>
      </c>
      <c r="H1869" s="6" t="n">
        <v>39</v>
      </c>
      <c r="I1869" s="6" t="n">
        <v>321</v>
      </c>
      <c r="J1869" s="5" t="inlineStr">
        <is>
          <t>WA</t>
        </is>
      </c>
      <c r="K1869" s="5" t="inlineStr">
        <is>
          <t>SFR</t>
        </is>
      </c>
      <c r="L1869" s="5" t="inlineStr">
        <is>
          <t>Apex Funding</t>
        </is>
      </c>
      <c r="M1869" s="5" t="inlineStr">
        <is>
          <t>Northgate Servicing</t>
        </is>
      </c>
    </row>
    <row r="1870">
      <c r="A1870" s="7" t="inlineStr">
        <is>
          <t>L101865</t>
        </is>
      </c>
      <c r="B1870" s="8" t="n">
        <v>256537.85</v>
      </c>
      <c r="C1870" s="8" t="n">
        <v>256306.21</v>
      </c>
      <c r="D1870" s="27" t="n">
        <v>6.506</v>
      </c>
      <c r="E1870" s="10" t="n">
        <v>655</v>
      </c>
      <c r="F1870" s="12" t="n">
        <v>54.2</v>
      </c>
      <c r="G1870" s="12" t="n">
        <v>35.6</v>
      </c>
      <c r="H1870" s="10" t="n">
        <v>1</v>
      </c>
      <c r="I1870" s="10" t="n">
        <v>359</v>
      </c>
      <c r="J1870" s="7" t="inlineStr">
        <is>
          <t>GA</t>
        </is>
      </c>
      <c r="K1870" s="7" t="inlineStr">
        <is>
          <t>Multifamily</t>
        </is>
      </c>
      <c r="L1870" s="7" t="inlineStr">
        <is>
          <t>Meridian Home Loans</t>
        </is>
      </c>
      <c r="M1870" s="7" t="inlineStr">
        <is>
          <t>Pier Asset Mgmt</t>
        </is>
      </c>
    </row>
    <row r="1871">
      <c r="A1871" s="5" t="inlineStr">
        <is>
          <t>L101866</t>
        </is>
      </c>
      <c r="B1871" s="16" t="n">
        <v>225672.18</v>
      </c>
      <c r="C1871" s="16" t="n">
        <v>223926.15</v>
      </c>
      <c r="D1871" s="26" t="n">
        <v>4.621</v>
      </c>
      <c r="E1871" s="6" t="n">
        <v>738</v>
      </c>
      <c r="F1871" s="11" t="n">
        <v>70.59999999999999</v>
      </c>
      <c r="G1871" s="11" t="n">
        <v>34.7</v>
      </c>
      <c r="H1871" s="6" t="n">
        <v>2</v>
      </c>
      <c r="I1871" s="6" t="n">
        <v>178</v>
      </c>
      <c r="J1871" s="5" t="inlineStr">
        <is>
          <t>NC</t>
        </is>
      </c>
      <c r="K1871" s="5" t="inlineStr">
        <is>
          <t>Condo</t>
        </is>
      </c>
      <c r="L1871" s="5" t="inlineStr">
        <is>
          <t>Highline Capital</t>
        </is>
      </c>
      <c r="M1871" s="5" t="inlineStr">
        <is>
          <t>Pier Asset Mgmt</t>
        </is>
      </c>
    </row>
    <row r="1872">
      <c r="A1872" s="7" t="inlineStr">
        <is>
          <t>L101867</t>
        </is>
      </c>
      <c r="B1872" s="8" t="n">
        <v>307885.54</v>
      </c>
      <c r="C1872" s="8" t="n">
        <v>297047.52</v>
      </c>
      <c r="D1872" s="27" t="n">
        <v>7.549</v>
      </c>
      <c r="E1872" s="10" t="n">
        <v>807</v>
      </c>
      <c r="F1872" s="12" t="n">
        <v>89.90000000000001</v>
      </c>
      <c r="G1872" s="12" t="n">
        <v>29.7</v>
      </c>
      <c r="H1872" s="10" t="n">
        <v>42</v>
      </c>
      <c r="I1872" s="10" t="n">
        <v>318</v>
      </c>
      <c r="J1872" s="7" t="inlineStr">
        <is>
          <t>AZ</t>
        </is>
      </c>
      <c r="K1872" s="7" t="inlineStr">
        <is>
          <t>SFR</t>
        </is>
      </c>
      <c r="L1872" s="7" t="inlineStr">
        <is>
          <t>Meridian Home Loans</t>
        </is>
      </c>
      <c r="M1872" s="7" t="inlineStr">
        <is>
          <t>Pier Asset Mgmt</t>
        </is>
      </c>
    </row>
    <row r="1873">
      <c r="A1873" s="5" t="inlineStr">
        <is>
          <t>L101868</t>
        </is>
      </c>
      <c r="B1873" s="16" t="n">
        <v>213251.53</v>
      </c>
      <c r="C1873" s="16" t="n">
        <v>211949.44</v>
      </c>
      <c r="D1873" s="26" t="n">
        <v>6.77</v>
      </c>
      <c r="E1873" s="6" t="n">
        <v>732</v>
      </c>
      <c r="F1873" s="11" t="n">
        <v>79.5</v>
      </c>
      <c r="G1873" s="11" t="n">
        <v>43</v>
      </c>
      <c r="H1873" s="6" t="n">
        <v>7</v>
      </c>
      <c r="I1873" s="6" t="n">
        <v>353</v>
      </c>
      <c r="J1873" s="5" t="inlineStr">
        <is>
          <t>FL</t>
        </is>
      </c>
      <c r="K1873" s="5" t="inlineStr">
        <is>
          <t>SFR</t>
        </is>
      </c>
      <c r="L1873" s="5" t="inlineStr">
        <is>
          <t>Meridian Home Loans</t>
        </is>
      </c>
      <c r="M1873" s="5" t="inlineStr">
        <is>
          <t>Northgate Servicing</t>
        </is>
      </c>
    </row>
    <row r="1874">
      <c r="A1874" s="7" t="inlineStr">
        <is>
          <t>L101869</t>
        </is>
      </c>
      <c r="B1874" s="8" t="n">
        <v>263668.91</v>
      </c>
      <c r="C1874" s="8" t="n">
        <v>252388</v>
      </c>
      <c r="D1874" s="27" t="n">
        <v>5.317</v>
      </c>
      <c r="E1874" s="10" t="n">
        <v>746</v>
      </c>
      <c r="F1874" s="12" t="n">
        <v>97</v>
      </c>
      <c r="G1874" s="12" t="n">
        <v>35.5</v>
      </c>
      <c r="H1874" s="10" t="n">
        <v>35</v>
      </c>
      <c r="I1874" s="10" t="n">
        <v>325</v>
      </c>
      <c r="J1874" s="7" t="inlineStr">
        <is>
          <t>GA</t>
        </is>
      </c>
      <c r="K1874" s="7" t="inlineStr">
        <is>
          <t>SFR</t>
        </is>
      </c>
      <c r="L1874" s="7" t="inlineStr">
        <is>
          <t>Apex Funding</t>
        </is>
      </c>
      <c r="M1874" s="7" t="inlineStr">
        <is>
          <t>Pier Asset Mgmt</t>
        </is>
      </c>
    </row>
    <row r="1875">
      <c r="A1875" s="5" t="inlineStr">
        <is>
          <t>L101870</t>
        </is>
      </c>
      <c r="B1875" s="16" t="n">
        <v>329449.06</v>
      </c>
      <c r="C1875" s="16" t="n">
        <v>322169.88</v>
      </c>
      <c r="D1875" s="26" t="n">
        <v>5.691</v>
      </c>
      <c r="E1875" s="6" t="n">
        <v>716</v>
      </c>
      <c r="F1875" s="11" t="n">
        <v>76.09999999999999</v>
      </c>
      <c r="G1875" s="11" t="n">
        <v>44.5</v>
      </c>
      <c r="H1875" s="6" t="n">
        <v>20</v>
      </c>
      <c r="I1875" s="6" t="n">
        <v>340</v>
      </c>
      <c r="J1875" s="5" t="inlineStr">
        <is>
          <t>AZ</t>
        </is>
      </c>
      <c r="K1875" s="5" t="inlineStr">
        <is>
          <t>SFR</t>
        </is>
      </c>
      <c r="L1875" s="5" t="inlineStr">
        <is>
          <t>Apex Funding</t>
        </is>
      </c>
      <c r="M1875" s="5" t="inlineStr">
        <is>
          <t>Summit Loan Servicing</t>
        </is>
      </c>
    </row>
    <row r="1876">
      <c r="A1876" s="7" t="inlineStr">
        <is>
          <t>L101871</t>
        </is>
      </c>
      <c r="B1876" s="8" t="n">
        <v>199459.74</v>
      </c>
      <c r="C1876" s="8" t="n">
        <v>192019.41</v>
      </c>
      <c r="D1876" s="27" t="n">
        <v>6.608</v>
      </c>
      <c r="E1876" s="10" t="n">
        <v>659</v>
      </c>
      <c r="F1876" s="12" t="n">
        <v>97</v>
      </c>
      <c r="G1876" s="12" t="n">
        <v>34.4</v>
      </c>
      <c r="H1876" s="10" t="n">
        <v>38</v>
      </c>
      <c r="I1876" s="10" t="n">
        <v>322</v>
      </c>
      <c r="J1876" s="7" t="inlineStr">
        <is>
          <t>AZ</t>
        </is>
      </c>
      <c r="K1876" s="7" t="inlineStr">
        <is>
          <t>SFR</t>
        </is>
      </c>
      <c r="L1876" s="7" t="inlineStr">
        <is>
          <t>Meridian Home Loans</t>
        </is>
      </c>
      <c r="M1876" s="7" t="inlineStr">
        <is>
          <t>Pier Asset Mgmt</t>
        </is>
      </c>
    </row>
    <row r="1877">
      <c r="A1877" s="5" t="inlineStr">
        <is>
          <t>L101872</t>
        </is>
      </c>
      <c r="B1877" s="16" t="n">
        <v>195698.9</v>
      </c>
      <c r="C1877" s="16" t="n">
        <v>190085.72</v>
      </c>
      <c r="D1877" s="26" t="n">
        <v>7.012</v>
      </c>
      <c r="E1877" s="6" t="n">
        <v>688</v>
      </c>
      <c r="F1877" s="11" t="n">
        <v>76.09999999999999</v>
      </c>
      <c r="G1877" s="11" t="n">
        <v>35.8</v>
      </c>
      <c r="H1877" s="6" t="n">
        <v>32</v>
      </c>
      <c r="I1877" s="6" t="n">
        <v>328</v>
      </c>
      <c r="J1877" s="5" t="inlineStr">
        <is>
          <t>FL</t>
        </is>
      </c>
      <c r="K1877" s="5" t="inlineStr">
        <is>
          <t>SFR</t>
        </is>
      </c>
      <c r="L1877" s="5" t="inlineStr">
        <is>
          <t>Apex Funding</t>
        </is>
      </c>
      <c r="M1877" s="5" t="inlineStr">
        <is>
          <t>Summit Loan Servicing</t>
        </is>
      </c>
    </row>
    <row r="1878">
      <c r="A1878" s="7" t="inlineStr">
        <is>
          <t>L101873</t>
        </is>
      </c>
      <c r="B1878" s="8" t="n">
        <v>159846.95</v>
      </c>
      <c r="C1878" s="8" t="n">
        <v>159200.88</v>
      </c>
      <c r="D1878" s="27" t="n">
        <v>5.961</v>
      </c>
      <c r="E1878" s="10" t="n">
        <v>648</v>
      </c>
      <c r="F1878" s="12" t="n">
        <v>74.3</v>
      </c>
      <c r="G1878" s="12" t="n">
        <v>31.5</v>
      </c>
      <c r="H1878" s="10" t="n">
        <v>4</v>
      </c>
      <c r="I1878" s="10" t="n">
        <v>356</v>
      </c>
      <c r="J1878" s="7" t="inlineStr">
        <is>
          <t>OH</t>
        </is>
      </c>
      <c r="K1878" s="7" t="inlineStr">
        <is>
          <t>Condo</t>
        </is>
      </c>
      <c r="L1878" s="7" t="inlineStr">
        <is>
          <t>Apex Funding</t>
        </is>
      </c>
      <c r="M1878" s="7" t="inlineStr">
        <is>
          <t>Pier Asset Mgmt</t>
        </is>
      </c>
    </row>
    <row r="1879">
      <c r="A1879" s="5" t="inlineStr">
        <is>
          <t>L101874</t>
        </is>
      </c>
      <c r="B1879" s="16" t="n">
        <v>167281.71</v>
      </c>
      <c r="C1879" s="16" t="n">
        <v>165051.05</v>
      </c>
      <c r="D1879" s="26" t="n">
        <v>7.143</v>
      </c>
      <c r="E1879" s="6" t="n">
        <v>645</v>
      </c>
      <c r="F1879" s="11" t="n">
        <v>58.6</v>
      </c>
      <c r="G1879" s="11" t="n">
        <v>35.9</v>
      </c>
      <c r="H1879" s="6" t="n">
        <v>16</v>
      </c>
      <c r="I1879" s="6" t="n">
        <v>344</v>
      </c>
      <c r="J1879" s="5" t="inlineStr">
        <is>
          <t>TX</t>
        </is>
      </c>
      <c r="K1879" s="5" t="inlineStr">
        <is>
          <t>2-4 Unit</t>
        </is>
      </c>
      <c r="L1879" s="5" t="inlineStr">
        <is>
          <t>Coastal Mortgage Co</t>
        </is>
      </c>
      <c r="M1879" s="5" t="inlineStr">
        <is>
          <t>Northgate Servicing</t>
        </is>
      </c>
    </row>
    <row r="1880">
      <c r="A1880" s="7" t="inlineStr">
        <is>
          <t>L101875</t>
        </is>
      </c>
      <c r="B1880" s="8" t="n">
        <v>128035.35</v>
      </c>
      <c r="C1880" s="8" t="n">
        <v>110318.13</v>
      </c>
      <c r="D1880" s="27" t="n">
        <v>4.787</v>
      </c>
      <c r="E1880" s="10" t="n">
        <v>737</v>
      </c>
      <c r="F1880" s="12" t="n">
        <v>87.3</v>
      </c>
      <c r="G1880" s="12" t="n">
        <v>41.7</v>
      </c>
      <c r="H1880" s="10" t="n">
        <v>34</v>
      </c>
      <c r="I1880" s="10" t="n">
        <v>146</v>
      </c>
      <c r="J1880" s="7" t="inlineStr">
        <is>
          <t>FL</t>
        </is>
      </c>
      <c r="K1880" s="7" t="inlineStr">
        <is>
          <t>2-4 Unit</t>
        </is>
      </c>
      <c r="L1880" s="7" t="inlineStr">
        <is>
          <t>Apex Funding</t>
        </is>
      </c>
      <c r="M1880" s="7" t="inlineStr">
        <is>
          <t>Pier Asset Mgmt</t>
        </is>
      </c>
    </row>
    <row r="1881">
      <c r="A1881" s="5" t="inlineStr">
        <is>
          <t>L101876</t>
        </is>
      </c>
      <c r="B1881" s="16" t="n">
        <v>313464.09</v>
      </c>
      <c r="C1881" s="16" t="n">
        <v>296671.9</v>
      </c>
      <c r="D1881" s="26" t="n">
        <v>5.462</v>
      </c>
      <c r="E1881" s="6" t="n">
        <v>653</v>
      </c>
      <c r="F1881" s="11" t="n">
        <v>68</v>
      </c>
      <c r="G1881" s="11" t="n">
        <v>32.7</v>
      </c>
      <c r="H1881" s="6" t="n">
        <v>44</v>
      </c>
      <c r="I1881" s="6" t="n">
        <v>316</v>
      </c>
      <c r="J1881" s="5" t="inlineStr">
        <is>
          <t>OH</t>
        </is>
      </c>
      <c r="K1881" s="5" t="inlineStr">
        <is>
          <t>2-4 Unit</t>
        </is>
      </c>
      <c r="L1881" s="5" t="inlineStr">
        <is>
          <t>Apex Funding</t>
        </is>
      </c>
      <c r="M1881" s="5" t="inlineStr">
        <is>
          <t>Northgate Servicing</t>
        </is>
      </c>
    </row>
    <row r="1882">
      <c r="A1882" s="7" t="inlineStr">
        <is>
          <t>L101877</t>
        </is>
      </c>
      <c r="B1882" s="8" t="n">
        <v>457311.51</v>
      </c>
      <c r="C1882" s="8" t="n">
        <v>384822.78</v>
      </c>
      <c r="D1882" s="27" t="n">
        <v>4.542</v>
      </c>
      <c r="E1882" s="10" t="n">
        <v>733</v>
      </c>
      <c r="F1882" s="12" t="n">
        <v>66.2</v>
      </c>
      <c r="G1882" s="12" t="n">
        <v>40.1</v>
      </c>
      <c r="H1882" s="10" t="n">
        <v>38</v>
      </c>
      <c r="I1882" s="10" t="n">
        <v>142</v>
      </c>
      <c r="J1882" s="7" t="inlineStr">
        <is>
          <t>NC</t>
        </is>
      </c>
      <c r="K1882" s="7" t="inlineStr">
        <is>
          <t>SFR</t>
        </is>
      </c>
      <c r="L1882" s="7" t="inlineStr">
        <is>
          <t>Coastal Mortgage Co</t>
        </is>
      </c>
      <c r="M1882" s="7" t="inlineStr">
        <is>
          <t>Pier Asset Mgmt</t>
        </is>
      </c>
    </row>
    <row r="1883">
      <c r="A1883" s="5" t="inlineStr">
        <is>
          <t>L101878</t>
        </is>
      </c>
      <c r="B1883" s="16" t="n">
        <v>399858.15</v>
      </c>
      <c r="C1883" s="16" t="n">
        <v>333993.22</v>
      </c>
      <c r="D1883" s="26" t="n">
        <v>5.592</v>
      </c>
      <c r="E1883" s="6" t="n">
        <v>643</v>
      </c>
      <c r="F1883" s="11" t="n">
        <v>89.40000000000001</v>
      </c>
      <c r="G1883" s="11" t="n">
        <v>29.5</v>
      </c>
      <c r="H1883" s="6" t="n">
        <v>42</v>
      </c>
      <c r="I1883" s="6" t="n">
        <v>138</v>
      </c>
      <c r="J1883" s="5" t="inlineStr">
        <is>
          <t>GA</t>
        </is>
      </c>
      <c r="K1883" s="5" t="inlineStr">
        <is>
          <t>Condo</t>
        </is>
      </c>
      <c r="L1883" s="5" t="inlineStr">
        <is>
          <t>Meridian Home Loans</t>
        </is>
      </c>
      <c r="M1883" s="5" t="inlineStr">
        <is>
          <t>Pier Asset Mgmt</t>
        </is>
      </c>
    </row>
    <row r="1884">
      <c r="A1884" s="7" t="inlineStr">
        <is>
          <t>L101879</t>
        </is>
      </c>
      <c r="B1884" s="8" t="n">
        <v>137430.06</v>
      </c>
      <c r="C1884" s="8" t="n">
        <v>116315.53</v>
      </c>
      <c r="D1884" s="27" t="n">
        <v>7.757</v>
      </c>
      <c r="E1884" s="10" t="n">
        <v>731</v>
      </c>
      <c r="F1884" s="12" t="n">
        <v>87.90000000000001</v>
      </c>
      <c r="G1884" s="12" t="n">
        <v>42.1</v>
      </c>
      <c r="H1884" s="10" t="n">
        <v>45</v>
      </c>
      <c r="I1884" s="10" t="n">
        <v>135</v>
      </c>
      <c r="J1884" s="7" t="inlineStr">
        <is>
          <t>GA</t>
        </is>
      </c>
      <c r="K1884" s="7" t="inlineStr">
        <is>
          <t>Multifamily</t>
        </is>
      </c>
      <c r="L1884" s="7" t="inlineStr">
        <is>
          <t>Coastal Mortgage Co</t>
        </is>
      </c>
      <c r="M1884" s="7" t="inlineStr">
        <is>
          <t>Pier Asset Mgmt</t>
        </is>
      </c>
    </row>
    <row r="1885">
      <c r="A1885" s="5" t="inlineStr">
        <is>
          <t>L101880</t>
        </is>
      </c>
      <c r="B1885" s="16" t="n">
        <v>312918.84</v>
      </c>
      <c r="C1885" s="16" t="n">
        <v>268850.34</v>
      </c>
      <c r="D1885" s="26" t="n">
        <v>8.252000000000001</v>
      </c>
      <c r="E1885" s="6" t="n">
        <v>688</v>
      </c>
      <c r="F1885" s="11" t="n">
        <v>87.59999999999999</v>
      </c>
      <c r="G1885" s="11" t="n">
        <v>31.4</v>
      </c>
      <c r="H1885" s="6" t="n">
        <v>43</v>
      </c>
      <c r="I1885" s="6" t="n">
        <v>137</v>
      </c>
      <c r="J1885" s="5" t="inlineStr">
        <is>
          <t>WA</t>
        </is>
      </c>
      <c r="K1885" s="5" t="inlineStr">
        <is>
          <t>SFR</t>
        </is>
      </c>
      <c r="L1885" s="5" t="inlineStr">
        <is>
          <t>Highline Capital</t>
        </is>
      </c>
      <c r="M1885" s="5" t="inlineStr">
        <is>
          <t>Summit Loan Servicing</t>
        </is>
      </c>
    </row>
    <row r="1886">
      <c r="A1886" s="7" t="inlineStr">
        <is>
          <t>L101881</t>
        </is>
      </c>
      <c r="B1886" s="8" t="n">
        <v>399407.4</v>
      </c>
      <c r="C1886" s="8" t="n">
        <v>388741.35</v>
      </c>
      <c r="D1886" s="27" t="n">
        <v>6.611</v>
      </c>
      <c r="E1886" s="10" t="n">
        <v>792</v>
      </c>
      <c r="F1886" s="12" t="n">
        <v>69.7</v>
      </c>
      <c r="G1886" s="12" t="n">
        <v>42.8</v>
      </c>
      <c r="H1886" s="10" t="n">
        <v>28</v>
      </c>
      <c r="I1886" s="10" t="n">
        <v>332</v>
      </c>
      <c r="J1886" s="7" t="inlineStr">
        <is>
          <t>FL</t>
        </is>
      </c>
      <c r="K1886" s="7" t="inlineStr">
        <is>
          <t>SFR</t>
        </is>
      </c>
      <c r="L1886" s="7" t="inlineStr">
        <is>
          <t>Coastal Mortgage Co</t>
        </is>
      </c>
      <c r="M1886" s="7" t="inlineStr">
        <is>
          <t>Northgate Servicing</t>
        </is>
      </c>
    </row>
    <row r="1887">
      <c r="A1887" s="5" t="inlineStr">
        <is>
          <t>L101882</t>
        </is>
      </c>
      <c r="B1887" s="16" t="n">
        <v>206926</v>
      </c>
      <c r="C1887" s="16" t="n">
        <v>203391.28</v>
      </c>
      <c r="D1887" s="26" t="n">
        <v>5.825</v>
      </c>
      <c r="E1887" s="6" t="n">
        <v>733</v>
      </c>
      <c r="F1887" s="11" t="n">
        <v>73.40000000000001</v>
      </c>
      <c r="G1887" s="11" t="n">
        <v>36.5</v>
      </c>
      <c r="H1887" s="6" t="n">
        <v>16</v>
      </c>
      <c r="I1887" s="6" t="n">
        <v>344</v>
      </c>
      <c r="J1887" s="5" t="inlineStr">
        <is>
          <t>FL</t>
        </is>
      </c>
      <c r="K1887" s="5" t="inlineStr">
        <is>
          <t>SFR</t>
        </is>
      </c>
      <c r="L1887" s="5" t="inlineStr">
        <is>
          <t>Apex Funding</t>
        </is>
      </c>
      <c r="M1887" s="5" t="inlineStr">
        <is>
          <t>Northgate Servicing</t>
        </is>
      </c>
    </row>
    <row r="1888">
      <c r="A1888" s="7" t="inlineStr">
        <is>
          <t>L101883</t>
        </is>
      </c>
      <c r="B1888" s="8" t="n">
        <v>251577.56</v>
      </c>
      <c r="C1888" s="8" t="n">
        <v>245437.2</v>
      </c>
      <c r="D1888" s="27" t="n">
        <v>6.201</v>
      </c>
      <c r="E1888" s="10" t="n">
        <v>783</v>
      </c>
      <c r="F1888" s="12" t="n">
        <v>73.3</v>
      </c>
      <c r="G1888" s="12" t="n">
        <v>48.2</v>
      </c>
      <c r="H1888" s="10" t="n">
        <v>24</v>
      </c>
      <c r="I1888" s="10" t="n">
        <v>336</v>
      </c>
      <c r="J1888" s="7" t="inlineStr">
        <is>
          <t>IL</t>
        </is>
      </c>
      <c r="K1888" s="7" t="inlineStr">
        <is>
          <t>Multifamily</t>
        </is>
      </c>
      <c r="L1888" s="7" t="inlineStr">
        <is>
          <t>Coastal Mortgage Co</t>
        </is>
      </c>
      <c r="M1888" s="7" t="inlineStr">
        <is>
          <t>Summit Loan Servicing</t>
        </is>
      </c>
    </row>
    <row r="1889">
      <c r="A1889" s="5" t="inlineStr">
        <is>
          <t>L101884</t>
        </is>
      </c>
      <c r="B1889" s="16" t="n">
        <v>120239.09</v>
      </c>
      <c r="C1889" s="16" t="n">
        <v>115926.24</v>
      </c>
      <c r="D1889" s="26" t="n">
        <v>6.826</v>
      </c>
      <c r="E1889" s="6" t="n">
        <v>673</v>
      </c>
      <c r="F1889" s="11" t="n">
        <v>83.40000000000001</v>
      </c>
      <c r="G1889" s="11" t="n">
        <v>26.8</v>
      </c>
      <c r="H1889" s="6" t="n">
        <v>38</v>
      </c>
      <c r="I1889" s="6" t="n">
        <v>322</v>
      </c>
      <c r="J1889" s="5" t="inlineStr">
        <is>
          <t>OH</t>
        </is>
      </c>
      <c r="K1889" s="5" t="inlineStr">
        <is>
          <t>Multifamily</t>
        </is>
      </c>
      <c r="L1889" s="5" t="inlineStr">
        <is>
          <t>Apex Funding</t>
        </is>
      </c>
      <c r="M1889" s="5" t="inlineStr">
        <is>
          <t>Summit Loan Servicing</t>
        </is>
      </c>
    </row>
    <row r="1890">
      <c r="A1890" s="7" t="inlineStr">
        <is>
          <t>L101885</t>
        </is>
      </c>
      <c r="B1890" s="8" t="n">
        <v>266560.81</v>
      </c>
      <c r="C1890" s="8" t="n">
        <v>259886.81</v>
      </c>
      <c r="D1890" s="27" t="n">
        <v>4.993</v>
      </c>
      <c r="E1890" s="10" t="n">
        <v>718</v>
      </c>
      <c r="F1890" s="12" t="n">
        <v>92.59999999999999</v>
      </c>
      <c r="G1890" s="12" t="n">
        <v>24.2</v>
      </c>
      <c r="H1890" s="10" t="n">
        <v>20</v>
      </c>
      <c r="I1890" s="10" t="n">
        <v>340</v>
      </c>
      <c r="J1890" s="7" t="inlineStr">
        <is>
          <t>GA</t>
        </is>
      </c>
      <c r="K1890" s="7" t="inlineStr">
        <is>
          <t>2-4 Unit</t>
        </is>
      </c>
      <c r="L1890" s="7" t="inlineStr">
        <is>
          <t>Apex Funding</t>
        </is>
      </c>
      <c r="M1890" s="7" t="inlineStr">
        <is>
          <t>Summit Loan Servicing</t>
        </is>
      </c>
    </row>
    <row r="1891">
      <c r="A1891" s="5" t="inlineStr">
        <is>
          <t>L101886</t>
        </is>
      </c>
      <c r="B1891" s="16" t="n">
        <v>167335.17</v>
      </c>
      <c r="C1891" s="16" t="n">
        <v>159830.2</v>
      </c>
      <c r="D1891" s="26" t="n">
        <v>5.885</v>
      </c>
      <c r="E1891" s="6" t="n">
        <v>661</v>
      </c>
      <c r="F1891" s="11" t="n">
        <v>78.40000000000001</v>
      </c>
      <c r="G1891" s="11" t="n">
        <v>31.1</v>
      </c>
      <c r="H1891" s="6" t="n">
        <v>40</v>
      </c>
      <c r="I1891" s="6" t="n">
        <v>320</v>
      </c>
      <c r="J1891" s="5" t="inlineStr">
        <is>
          <t>AZ</t>
        </is>
      </c>
      <c r="K1891" s="5" t="inlineStr">
        <is>
          <t>SFR</t>
        </is>
      </c>
      <c r="L1891" s="5" t="inlineStr">
        <is>
          <t>Coastal Mortgage Co</t>
        </is>
      </c>
      <c r="M1891" s="5" t="inlineStr">
        <is>
          <t>Pier Asset Mgmt</t>
        </is>
      </c>
    </row>
    <row r="1892">
      <c r="A1892" s="7" t="inlineStr">
        <is>
          <t>L101887</t>
        </is>
      </c>
      <c r="B1892" s="8" t="n">
        <v>260373.46</v>
      </c>
      <c r="C1892" s="8" t="n">
        <v>253563.51</v>
      </c>
      <c r="D1892" s="27" t="n">
        <v>7.691</v>
      </c>
      <c r="E1892" s="10" t="n">
        <v>692</v>
      </c>
      <c r="F1892" s="12" t="n">
        <v>97</v>
      </c>
      <c r="G1892" s="12" t="n">
        <v>24.9</v>
      </c>
      <c r="H1892" s="10" t="n">
        <v>33</v>
      </c>
      <c r="I1892" s="10" t="n">
        <v>327</v>
      </c>
      <c r="J1892" s="7" t="inlineStr">
        <is>
          <t>OH</t>
        </is>
      </c>
      <c r="K1892" s="7" t="inlineStr">
        <is>
          <t>Multifamily</t>
        </is>
      </c>
      <c r="L1892" s="7" t="inlineStr">
        <is>
          <t>Apex Funding</t>
        </is>
      </c>
      <c r="M1892" s="7" t="inlineStr">
        <is>
          <t>Northgate Servicing</t>
        </is>
      </c>
    </row>
    <row r="1893">
      <c r="A1893" s="5" t="inlineStr">
        <is>
          <t>L101888</t>
        </is>
      </c>
      <c r="B1893" s="16" t="n">
        <v>140586.6</v>
      </c>
      <c r="C1893" s="16" t="n">
        <v>139003.76</v>
      </c>
      <c r="D1893" s="26" t="n">
        <v>5.459</v>
      </c>
      <c r="E1893" s="6" t="n">
        <v>701</v>
      </c>
      <c r="F1893" s="11" t="n">
        <v>84.8</v>
      </c>
      <c r="G1893" s="11" t="n">
        <v>24.9</v>
      </c>
      <c r="H1893" s="6" t="n">
        <v>10</v>
      </c>
      <c r="I1893" s="6" t="n">
        <v>350</v>
      </c>
      <c r="J1893" s="5" t="inlineStr">
        <is>
          <t>OH</t>
        </is>
      </c>
      <c r="K1893" s="5" t="inlineStr">
        <is>
          <t>SFR</t>
        </is>
      </c>
      <c r="L1893" s="5" t="inlineStr">
        <is>
          <t>Highline Capital</t>
        </is>
      </c>
      <c r="M1893" s="5" t="inlineStr">
        <is>
          <t>Pier Asset Mgmt</t>
        </is>
      </c>
    </row>
    <row r="1894">
      <c r="A1894" s="7" t="inlineStr">
        <is>
          <t>L101889</t>
        </is>
      </c>
      <c r="B1894" s="8" t="n">
        <v>293607.87</v>
      </c>
      <c r="C1894" s="8" t="n">
        <v>278570.74</v>
      </c>
      <c r="D1894" s="27" t="n">
        <v>5.726</v>
      </c>
      <c r="E1894" s="10" t="n">
        <v>675</v>
      </c>
      <c r="F1894" s="12" t="n">
        <v>71.2</v>
      </c>
      <c r="G1894" s="12" t="n">
        <v>41</v>
      </c>
      <c r="H1894" s="10" t="n">
        <v>44</v>
      </c>
      <c r="I1894" s="10" t="n">
        <v>316</v>
      </c>
      <c r="J1894" s="7" t="inlineStr">
        <is>
          <t>IL</t>
        </is>
      </c>
      <c r="K1894" s="7" t="inlineStr">
        <is>
          <t>SFR</t>
        </is>
      </c>
      <c r="L1894" s="7" t="inlineStr">
        <is>
          <t>Highline Capital</t>
        </is>
      </c>
      <c r="M1894" s="7" t="inlineStr">
        <is>
          <t>Pier Asset Mgmt</t>
        </is>
      </c>
    </row>
    <row r="1895">
      <c r="A1895" s="5" t="inlineStr">
        <is>
          <t>L101890</t>
        </is>
      </c>
      <c r="B1895" s="16" t="n">
        <v>347520.67</v>
      </c>
      <c r="C1895" s="16" t="n">
        <v>333310.98</v>
      </c>
      <c r="D1895" s="26" t="n">
        <v>6.412</v>
      </c>
      <c r="E1895" s="6" t="n">
        <v>648</v>
      </c>
      <c r="F1895" s="11" t="n">
        <v>83.90000000000001</v>
      </c>
      <c r="G1895" s="11" t="n">
        <v>36</v>
      </c>
      <c r="H1895" s="6" t="n">
        <v>40</v>
      </c>
      <c r="I1895" s="6" t="n">
        <v>320</v>
      </c>
      <c r="J1895" s="5" t="inlineStr">
        <is>
          <t>IL</t>
        </is>
      </c>
      <c r="K1895" s="5" t="inlineStr">
        <is>
          <t>SFR</t>
        </is>
      </c>
      <c r="L1895" s="5" t="inlineStr">
        <is>
          <t>Highline Capital</t>
        </is>
      </c>
      <c r="M1895" s="5" t="inlineStr">
        <is>
          <t>Summit Loan Servicing</t>
        </is>
      </c>
    </row>
    <row r="1896">
      <c r="A1896" s="7" t="inlineStr">
        <is>
          <t>L101891</t>
        </is>
      </c>
      <c r="B1896" s="8" t="n">
        <v>184589.01</v>
      </c>
      <c r="C1896" s="8" t="n">
        <v>179510.26</v>
      </c>
      <c r="D1896" s="27" t="n">
        <v>6.655</v>
      </c>
      <c r="E1896" s="10" t="n">
        <v>637</v>
      </c>
      <c r="F1896" s="12" t="n">
        <v>94.5</v>
      </c>
      <c r="G1896" s="12" t="n">
        <v>32.2</v>
      </c>
      <c r="H1896" s="10" t="n">
        <v>29</v>
      </c>
      <c r="I1896" s="10" t="n">
        <v>331</v>
      </c>
      <c r="J1896" s="7" t="inlineStr">
        <is>
          <t>CA</t>
        </is>
      </c>
      <c r="K1896" s="7" t="inlineStr">
        <is>
          <t>Condo</t>
        </is>
      </c>
      <c r="L1896" s="7" t="inlineStr">
        <is>
          <t>Meridian Home Loans</t>
        </is>
      </c>
      <c r="M1896" s="7" t="inlineStr">
        <is>
          <t>Pier Asset Mgmt</t>
        </is>
      </c>
    </row>
    <row r="1897">
      <c r="A1897" s="5" t="inlineStr">
        <is>
          <t>L101892</t>
        </is>
      </c>
      <c r="B1897" s="16" t="n">
        <v>163093.2</v>
      </c>
      <c r="C1897" s="16" t="n">
        <v>161381.18</v>
      </c>
      <c r="D1897" s="26" t="n">
        <v>5.837</v>
      </c>
      <c r="E1897" s="6" t="n">
        <v>586</v>
      </c>
      <c r="F1897" s="11" t="n">
        <v>97</v>
      </c>
      <c r="G1897" s="11" t="n">
        <v>32.9</v>
      </c>
      <c r="H1897" s="6" t="n">
        <v>10</v>
      </c>
      <c r="I1897" s="6" t="n">
        <v>350</v>
      </c>
      <c r="J1897" s="5" t="inlineStr">
        <is>
          <t>CA</t>
        </is>
      </c>
      <c r="K1897" s="5" t="inlineStr">
        <is>
          <t>2-4 Unit</t>
        </is>
      </c>
      <c r="L1897" s="5" t="inlineStr">
        <is>
          <t>Highline Capital</t>
        </is>
      </c>
      <c r="M1897" s="5" t="inlineStr">
        <is>
          <t>Summit Loan Servicing</t>
        </is>
      </c>
    </row>
    <row r="1898">
      <c r="A1898" s="7" t="inlineStr">
        <is>
          <t>L101893</t>
        </is>
      </c>
      <c r="B1898" s="8" t="n">
        <v>114164.07</v>
      </c>
      <c r="C1898" s="8" t="n">
        <v>112990.66</v>
      </c>
      <c r="D1898" s="27" t="n">
        <v>6.469</v>
      </c>
      <c r="E1898" s="10" t="n">
        <v>657</v>
      </c>
      <c r="F1898" s="12" t="n">
        <v>88.2</v>
      </c>
      <c r="G1898" s="12" t="n">
        <v>31.2</v>
      </c>
      <c r="H1898" s="10" t="n">
        <v>11</v>
      </c>
      <c r="I1898" s="10" t="n">
        <v>349</v>
      </c>
      <c r="J1898" s="7" t="inlineStr">
        <is>
          <t>IL</t>
        </is>
      </c>
      <c r="K1898" s="7" t="inlineStr">
        <is>
          <t>SFR</t>
        </is>
      </c>
      <c r="L1898" s="7" t="inlineStr">
        <is>
          <t>Apex Funding</t>
        </is>
      </c>
      <c r="M1898" s="7" t="inlineStr">
        <is>
          <t>Northgate Servicing</t>
        </is>
      </c>
    </row>
    <row r="1899">
      <c r="A1899" s="5" t="inlineStr">
        <is>
          <t>L101894</t>
        </is>
      </c>
      <c r="B1899" s="16" t="n">
        <v>221185.12</v>
      </c>
      <c r="C1899" s="16" t="n">
        <v>212965.46</v>
      </c>
      <c r="D1899" s="26" t="n">
        <v>6.947</v>
      </c>
      <c r="E1899" s="6" t="n">
        <v>750</v>
      </c>
      <c r="F1899" s="11" t="n">
        <v>74.3</v>
      </c>
      <c r="G1899" s="11" t="n">
        <v>49.2</v>
      </c>
      <c r="H1899" s="6" t="n">
        <v>40</v>
      </c>
      <c r="I1899" s="6" t="n">
        <v>320</v>
      </c>
      <c r="J1899" s="5" t="inlineStr">
        <is>
          <t>AZ</t>
        </is>
      </c>
      <c r="K1899" s="5" t="inlineStr">
        <is>
          <t>SFR</t>
        </is>
      </c>
      <c r="L1899" s="5" t="inlineStr">
        <is>
          <t>Coastal Mortgage Co</t>
        </is>
      </c>
      <c r="M1899" s="5" t="inlineStr">
        <is>
          <t>Pier Asset Mgmt</t>
        </is>
      </c>
    </row>
    <row r="1900">
      <c r="A1900" s="7" t="inlineStr">
        <is>
          <t>L101895</t>
        </is>
      </c>
      <c r="B1900" s="8" t="n">
        <v>198083.14</v>
      </c>
      <c r="C1900" s="8" t="n">
        <v>197519.03</v>
      </c>
      <c r="D1900" s="27" t="n">
        <v>8.164999999999999</v>
      </c>
      <c r="E1900" s="10" t="n">
        <v>627</v>
      </c>
      <c r="F1900" s="12" t="n">
        <v>71.40000000000001</v>
      </c>
      <c r="G1900" s="12" t="n">
        <v>30.1</v>
      </c>
      <c r="H1900" s="10" t="n">
        <v>1</v>
      </c>
      <c r="I1900" s="10" t="n">
        <v>179</v>
      </c>
      <c r="J1900" s="7" t="inlineStr">
        <is>
          <t>OH</t>
        </is>
      </c>
      <c r="K1900" s="7" t="inlineStr">
        <is>
          <t>SFR</t>
        </is>
      </c>
      <c r="L1900" s="7" t="inlineStr">
        <is>
          <t>Coastal Mortgage Co</t>
        </is>
      </c>
      <c r="M1900" s="7" t="inlineStr">
        <is>
          <t>Summit Loan Servicing</t>
        </is>
      </c>
    </row>
    <row r="1901">
      <c r="A1901" s="5" t="inlineStr">
        <is>
          <t>L101896</t>
        </is>
      </c>
      <c r="B1901" s="16" t="n">
        <v>141088.58</v>
      </c>
      <c r="C1901" s="16" t="n">
        <v>137848.05</v>
      </c>
      <c r="D1901" s="26" t="n">
        <v>6.286</v>
      </c>
      <c r="E1901" s="6" t="n">
        <v>640</v>
      </c>
      <c r="F1901" s="11" t="n">
        <v>80.90000000000001</v>
      </c>
      <c r="G1901" s="11" t="n">
        <v>25.4</v>
      </c>
      <c r="H1901" s="6" t="n">
        <v>23</v>
      </c>
      <c r="I1901" s="6" t="n">
        <v>337</v>
      </c>
      <c r="J1901" s="5" t="inlineStr">
        <is>
          <t>IL</t>
        </is>
      </c>
      <c r="K1901" s="5" t="inlineStr">
        <is>
          <t>SFR</t>
        </is>
      </c>
      <c r="L1901" s="5" t="inlineStr">
        <is>
          <t>Meridian Home Loans</t>
        </is>
      </c>
      <c r="M1901" s="5" t="inlineStr">
        <is>
          <t>Pier Asset Mgmt</t>
        </is>
      </c>
    </row>
    <row r="1902">
      <c r="A1902" s="7" t="inlineStr">
        <is>
          <t>L101897</t>
        </is>
      </c>
      <c r="B1902" s="8" t="n">
        <v>284519.36</v>
      </c>
      <c r="C1902" s="8" t="n">
        <v>275954.82</v>
      </c>
      <c r="D1902" s="27" t="n">
        <v>6.363</v>
      </c>
      <c r="E1902" s="10" t="n">
        <v>813</v>
      </c>
      <c r="F1902" s="12" t="n">
        <v>94.09999999999999</v>
      </c>
      <c r="G1902" s="12" t="n">
        <v>42.4</v>
      </c>
      <c r="H1902" s="10" t="n">
        <v>30</v>
      </c>
      <c r="I1902" s="10" t="n">
        <v>330</v>
      </c>
      <c r="J1902" s="7" t="inlineStr">
        <is>
          <t>GA</t>
        </is>
      </c>
      <c r="K1902" s="7" t="inlineStr">
        <is>
          <t>2-4 Unit</t>
        </is>
      </c>
      <c r="L1902" s="7" t="inlineStr">
        <is>
          <t>Highline Capital</t>
        </is>
      </c>
      <c r="M1902" s="7" t="inlineStr">
        <is>
          <t>Northgate Servicing</t>
        </is>
      </c>
    </row>
    <row r="1903">
      <c r="A1903" s="5" t="inlineStr">
        <is>
          <t>L101898</t>
        </is>
      </c>
      <c r="B1903" s="16" t="n">
        <v>207421.94</v>
      </c>
      <c r="C1903" s="16" t="n">
        <v>205766.76</v>
      </c>
      <c r="D1903" s="26" t="n">
        <v>7.775</v>
      </c>
      <c r="E1903" s="6" t="n">
        <v>680</v>
      </c>
      <c r="F1903" s="11" t="n">
        <v>79.2</v>
      </c>
      <c r="G1903" s="11" t="n">
        <v>34.3</v>
      </c>
      <c r="H1903" s="6" t="n">
        <v>11</v>
      </c>
      <c r="I1903" s="6" t="n">
        <v>349</v>
      </c>
      <c r="J1903" s="5" t="inlineStr">
        <is>
          <t>OH</t>
        </is>
      </c>
      <c r="K1903" s="5" t="inlineStr">
        <is>
          <t>SFR</t>
        </is>
      </c>
      <c r="L1903" s="5" t="inlineStr">
        <is>
          <t>Highline Capital</t>
        </is>
      </c>
      <c r="M1903" s="5" t="inlineStr">
        <is>
          <t>Summit Loan Servicing</t>
        </is>
      </c>
    </row>
    <row r="1904">
      <c r="A1904" s="7" t="inlineStr">
        <is>
          <t>L101899</t>
        </is>
      </c>
      <c r="B1904" s="8" t="n">
        <v>166623.56</v>
      </c>
      <c r="C1904" s="8" t="n">
        <v>158972.23</v>
      </c>
      <c r="D1904" s="27" t="n">
        <v>5.906</v>
      </c>
      <c r="E1904" s="10" t="n">
        <v>733</v>
      </c>
      <c r="F1904" s="12" t="n">
        <v>79.5</v>
      </c>
      <c r="G1904" s="12" t="n">
        <v>52.3</v>
      </c>
      <c r="H1904" s="10" t="n">
        <v>41</v>
      </c>
      <c r="I1904" s="10" t="n">
        <v>319</v>
      </c>
      <c r="J1904" s="7" t="inlineStr">
        <is>
          <t>NY</t>
        </is>
      </c>
      <c r="K1904" s="7" t="inlineStr">
        <is>
          <t>SFR</t>
        </is>
      </c>
      <c r="L1904" s="7" t="inlineStr">
        <is>
          <t>Meridian Home Loans</t>
        </is>
      </c>
      <c r="M1904" s="7" t="inlineStr">
        <is>
          <t>Pier Asset Mgmt</t>
        </is>
      </c>
    </row>
    <row r="1905">
      <c r="A1905" s="5" t="inlineStr">
        <is>
          <t>L101900</t>
        </is>
      </c>
      <c r="B1905" s="16" t="n">
        <v>199965.41</v>
      </c>
      <c r="C1905" s="16" t="n">
        <v>180595.16</v>
      </c>
      <c r="D1905" s="26" t="n">
        <v>5.208</v>
      </c>
      <c r="E1905" s="6" t="n">
        <v>750</v>
      </c>
      <c r="F1905" s="11" t="n">
        <v>74.59999999999999</v>
      </c>
      <c r="G1905" s="11" t="n">
        <v>31.8</v>
      </c>
      <c r="H1905" s="6" t="n">
        <v>25</v>
      </c>
      <c r="I1905" s="6" t="n">
        <v>155</v>
      </c>
      <c r="J1905" s="5" t="inlineStr">
        <is>
          <t>TX</t>
        </is>
      </c>
      <c r="K1905" s="5" t="inlineStr">
        <is>
          <t>SFR</t>
        </is>
      </c>
      <c r="L1905" s="5" t="inlineStr">
        <is>
          <t>Apex Funding</t>
        </is>
      </c>
      <c r="M1905" s="5" t="inlineStr">
        <is>
          <t>Summit Loan Servicing</t>
        </is>
      </c>
    </row>
    <row r="1906">
      <c r="A1906" s="7" t="inlineStr">
        <is>
          <t>L101901</t>
        </is>
      </c>
      <c r="B1906" s="8" t="n">
        <v>353258.93</v>
      </c>
      <c r="C1906" s="8" t="n">
        <v>352001.88</v>
      </c>
      <c r="D1906" s="27" t="n">
        <v>6.625</v>
      </c>
      <c r="E1906" s="10" t="n">
        <v>751</v>
      </c>
      <c r="F1906" s="12" t="n">
        <v>70.09999999999999</v>
      </c>
      <c r="G1906" s="12" t="n">
        <v>42.8</v>
      </c>
      <c r="H1906" s="10" t="n">
        <v>4</v>
      </c>
      <c r="I1906" s="10" t="n">
        <v>356</v>
      </c>
      <c r="J1906" s="7" t="inlineStr">
        <is>
          <t>WA</t>
        </is>
      </c>
      <c r="K1906" s="7" t="inlineStr">
        <is>
          <t>Condo</t>
        </is>
      </c>
      <c r="L1906" s="7" t="inlineStr">
        <is>
          <t>Apex Funding</t>
        </is>
      </c>
      <c r="M1906" s="7" t="inlineStr">
        <is>
          <t>Northgate Servicing</t>
        </is>
      </c>
    </row>
    <row r="1907">
      <c r="A1907" s="5" t="inlineStr">
        <is>
          <t>L101902</t>
        </is>
      </c>
      <c r="B1907" s="16" t="n">
        <v>299847.09</v>
      </c>
      <c r="C1907" s="16" t="n">
        <v>284495.78</v>
      </c>
      <c r="D1907" s="26" t="n">
        <v>7.369</v>
      </c>
      <c r="E1907" s="6" t="n">
        <v>631</v>
      </c>
      <c r="F1907" s="11" t="n">
        <v>72.09999999999999</v>
      </c>
      <c r="G1907" s="11" t="n">
        <v>44.7</v>
      </c>
      <c r="H1907" s="6" t="n">
        <v>16</v>
      </c>
      <c r="I1907" s="6" t="n">
        <v>164</v>
      </c>
      <c r="J1907" s="5" t="inlineStr">
        <is>
          <t>GA</t>
        </is>
      </c>
      <c r="K1907" s="5" t="inlineStr">
        <is>
          <t>2-4 Unit</t>
        </is>
      </c>
      <c r="L1907" s="5" t="inlineStr">
        <is>
          <t>Meridian Home Loans</t>
        </is>
      </c>
      <c r="M1907" s="5" t="inlineStr">
        <is>
          <t>Northgate Servicing</t>
        </is>
      </c>
    </row>
    <row r="1908">
      <c r="A1908" s="7" t="inlineStr">
        <is>
          <t>L101903</t>
        </is>
      </c>
      <c r="B1908" s="8" t="n">
        <v>231999.59</v>
      </c>
      <c r="C1908" s="8" t="n">
        <v>227987.16</v>
      </c>
      <c r="D1908" s="27" t="n">
        <v>6.725</v>
      </c>
      <c r="E1908" s="10" t="n">
        <v>702</v>
      </c>
      <c r="F1908" s="12" t="n">
        <v>75.59999999999999</v>
      </c>
      <c r="G1908" s="12" t="n">
        <v>31.8</v>
      </c>
      <c r="H1908" s="10" t="n">
        <v>19</v>
      </c>
      <c r="I1908" s="10" t="n">
        <v>341</v>
      </c>
      <c r="J1908" s="7" t="inlineStr">
        <is>
          <t>TX</t>
        </is>
      </c>
      <c r="K1908" s="7" t="inlineStr">
        <is>
          <t>SFR</t>
        </is>
      </c>
      <c r="L1908" s="7" t="inlineStr">
        <is>
          <t>Apex Funding</t>
        </is>
      </c>
      <c r="M1908" s="7" t="inlineStr">
        <is>
          <t>Summit Loan Servicing</t>
        </is>
      </c>
    </row>
    <row r="1909">
      <c r="A1909" s="5" t="inlineStr">
        <is>
          <t>L101904</t>
        </is>
      </c>
      <c r="B1909" s="16" t="n">
        <v>301548.68</v>
      </c>
      <c r="C1909" s="16" t="n">
        <v>298356.3</v>
      </c>
      <c r="D1909" s="26" t="n">
        <v>6.313</v>
      </c>
      <c r="E1909" s="6" t="n">
        <v>626</v>
      </c>
      <c r="F1909" s="11" t="n">
        <v>94.59999999999999</v>
      </c>
      <c r="G1909" s="11" t="n">
        <v>30.1</v>
      </c>
      <c r="H1909" s="6" t="n">
        <v>11</v>
      </c>
      <c r="I1909" s="6" t="n">
        <v>349</v>
      </c>
      <c r="J1909" s="5" t="inlineStr">
        <is>
          <t>FL</t>
        </is>
      </c>
      <c r="K1909" s="5" t="inlineStr">
        <is>
          <t>SFR</t>
        </is>
      </c>
      <c r="L1909" s="5" t="inlineStr">
        <is>
          <t>Highline Capital</t>
        </is>
      </c>
      <c r="M1909" s="5" t="inlineStr">
        <is>
          <t>Northgate Servicing</t>
        </is>
      </c>
    </row>
    <row r="1910">
      <c r="A1910" s="7" t="inlineStr">
        <is>
          <t>L101905</t>
        </is>
      </c>
      <c r="B1910" s="8" t="n">
        <v>161729.56</v>
      </c>
      <c r="C1910" s="8" t="n">
        <v>152285.3</v>
      </c>
      <c r="D1910" s="27" t="n">
        <v>5.096</v>
      </c>
      <c r="E1910" s="10" t="n">
        <v>820</v>
      </c>
      <c r="F1910" s="12" t="n">
        <v>71.09999999999999</v>
      </c>
      <c r="G1910" s="12" t="n">
        <v>41.9</v>
      </c>
      <c r="H1910" s="10" t="n">
        <v>45</v>
      </c>
      <c r="I1910" s="10" t="n">
        <v>315</v>
      </c>
      <c r="J1910" s="7" t="inlineStr">
        <is>
          <t>NY</t>
        </is>
      </c>
      <c r="K1910" s="7" t="inlineStr">
        <is>
          <t>Multifamily</t>
        </is>
      </c>
      <c r="L1910" s="7" t="inlineStr">
        <is>
          <t>Coastal Mortgage Co</t>
        </is>
      </c>
      <c r="M1910" s="7" t="inlineStr">
        <is>
          <t>Northgate Servicing</t>
        </is>
      </c>
    </row>
    <row r="1911">
      <c r="A1911" s="5" t="inlineStr">
        <is>
          <t>L101906</t>
        </is>
      </c>
      <c r="B1911" s="16" t="n">
        <v>245568.09</v>
      </c>
      <c r="C1911" s="16" t="n">
        <v>241511.59</v>
      </c>
      <c r="D1911" s="26" t="n">
        <v>6.347</v>
      </c>
      <c r="E1911" s="6" t="n">
        <v>627</v>
      </c>
      <c r="F1911" s="11" t="n">
        <v>74.59999999999999</v>
      </c>
      <c r="G1911" s="11" t="n">
        <v>40.6</v>
      </c>
      <c r="H1911" s="6" t="n">
        <v>17</v>
      </c>
      <c r="I1911" s="6" t="n">
        <v>343</v>
      </c>
      <c r="J1911" s="5" t="inlineStr">
        <is>
          <t>FL</t>
        </is>
      </c>
      <c r="K1911" s="5" t="inlineStr">
        <is>
          <t>SFR</t>
        </is>
      </c>
      <c r="L1911" s="5" t="inlineStr">
        <is>
          <t>Apex Funding</t>
        </is>
      </c>
      <c r="M1911" s="5" t="inlineStr">
        <is>
          <t>Summit Loan Servicing</t>
        </is>
      </c>
    </row>
    <row r="1912">
      <c r="A1912" s="7" t="inlineStr">
        <is>
          <t>L101907</t>
        </is>
      </c>
      <c r="B1912" s="8" t="n">
        <v>255649.54</v>
      </c>
      <c r="C1912" s="8" t="n">
        <v>235739.88</v>
      </c>
      <c r="D1912" s="27" t="n">
        <v>7.51</v>
      </c>
      <c r="E1912" s="10" t="n">
        <v>657</v>
      </c>
      <c r="F1912" s="12" t="n">
        <v>63.6</v>
      </c>
      <c r="G1912" s="12" t="n">
        <v>24.7</v>
      </c>
      <c r="H1912" s="10" t="n">
        <v>24</v>
      </c>
      <c r="I1912" s="10" t="n">
        <v>156</v>
      </c>
      <c r="J1912" s="7" t="inlineStr">
        <is>
          <t>IL</t>
        </is>
      </c>
      <c r="K1912" s="7" t="inlineStr">
        <is>
          <t>SFR</t>
        </is>
      </c>
      <c r="L1912" s="7" t="inlineStr">
        <is>
          <t>Highline Capital</t>
        </is>
      </c>
      <c r="M1912" s="7" t="inlineStr">
        <is>
          <t>Northgate Servicing</t>
        </is>
      </c>
    </row>
    <row r="1913">
      <c r="A1913" s="5" t="inlineStr">
        <is>
          <t>L101908</t>
        </is>
      </c>
      <c r="B1913" s="16" t="n">
        <v>205984.71</v>
      </c>
      <c r="C1913" s="16" t="n">
        <v>199538.05</v>
      </c>
      <c r="D1913" s="26" t="n">
        <v>5.289</v>
      </c>
      <c r="E1913" s="6" t="n">
        <v>658</v>
      </c>
      <c r="F1913" s="11" t="n">
        <v>82.59999999999999</v>
      </c>
      <c r="G1913" s="11" t="n">
        <v>27</v>
      </c>
      <c r="H1913" s="6" t="n">
        <v>26</v>
      </c>
      <c r="I1913" s="6" t="n">
        <v>334</v>
      </c>
      <c r="J1913" s="5" t="inlineStr">
        <is>
          <t>OH</t>
        </is>
      </c>
      <c r="K1913" s="5" t="inlineStr">
        <is>
          <t>SFR</t>
        </is>
      </c>
      <c r="L1913" s="5" t="inlineStr">
        <is>
          <t>Coastal Mortgage Co</t>
        </is>
      </c>
      <c r="M1913" s="5" t="inlineStr">
        <is>
          <t>Summit Loan Servicing</t>
        </is>
      </c>
    </row>
    <row r="1914">
      <c r="A1914" s="7" t="inlineStr">
        <is>
          <t>L101909</t>
        </is>
      </c>
      <c r="B1914" s="8" t="n">
        <v>282776.02</v>
      </c>
      <c r="C1914" s="8" t="n">
        <v>279706.33</v>
      </c>
      <c r="D1914" s="27" t="n">
        <v>6.18</v>
      </c>
      <c r="E1914" s="10" t="n">
        <v>633</v>
      </c>
      <c r="F1914" s="12" t="n">
        <v>90.40000000000001</v>
      </c>
      <c r="G1914" s="12" t="n">
        <v>15.7</v>
      </c>
      <c r="H1914" s="10" t="n">
        <v>11</v>
      </c>
      <c r="I1914" s="10" t="n">
        <v>349</v>
      </c>
      <c r="J1914" s="7" t="inlineStr">
        <is>
          <t>AZ</t>
        </is>
      </c>
      <c r="K1914" s="7" t="inlineStr">
        <is>
          <t>Multifamily</t>
        </is>
      </c>
      <c r="L1914" s="7" t="inlineStr">
        <is>
          <t>Meridian Home Loans</t>
        </is>
      </c>
      <c r="M1914" s="7" t="inlineStr">
        <is>
          <t>Northgate Servicing</t>
        </is>
      </c>
    </row>
    <row r="1915">
      <c r="A1915" s="5" t="inlineStr">
        <is>
          <t>L101910</t>
        </is>
      </c>
      <c r="B1915" s="16" t="n">
        <v>184766.53</v>
      </c>
      <c r="C1915" s="16" t="n">
        <v>179512.15</v>
      </c>
      <c r="D1915" s="26" t="n">
        <v>6.051</v>
      </c>
      <c r="E1915" s="6" t="n">
        <v>789</v>
      </c>
      <c r="F1915" s="11" t="n">
        <v>93.5</v>
      </c>
      <c r="G1915" s="11" t="n">
        <v>40.8</v>
      </c>
      <c r="H1915" s="6" t="n">
        <v>27</v>
      </c>
      <c r="I1915" s="6" t="n">
        <v>333</v>
      </c>
      <c r="J1915" s="5" t="inlineStr">
        <is>
          <t>WA</t>
        </is>
      </c>
      <c r="K1915" s="5" t="inlineStr">
        <is>
          <t>Condo</t>
        </is>
      </c>
      <c r="L1915" s="5" t="inlineStr">
        <is>
          <t>Coastal Mortgage Co</t>
        </is>
      </c>
      <c r="M1915" s="5" t="inlineStr">
        <is>
          <t>Summit Loan Servicing</t>
        </is>
      </c>
    </row>
    <row r="1916">
      <c r="A1916" s="7" t="inlineStr">
        <is>
          <t>L101911</t>
        </is>
      </c>
      <c r="B1916" s="8" t="n">
        <v>290232.4</v>
      </c>
      <c r="C1916" s="8" t="n">
        <v>272252.62</v>
      </c>
      <c r="D1916" s="27" t="n">
        <v>5.772</v>
      </c>
      <c r="E1916" s="10" t="n">
        <v>820</v>
      </c>
      <c r="F1916" s="12" t="n">
        <v>76.40000000000001</v>
      </c>
      <c r="G1916" s="12" t="n">
        <v>33.9</v>
      </c>
      <c r="H1916" s="10" t="n">
        <v>17</v>
      </c>
      <c r="I1916" s="10" t="n">
        <v>163</v>
      </c>
      <c r="J1916" s="7" t="inlineStr">
        <is>
          <t>OH</t>
        </is>
      </c>
      <c r="K1916" s="7" t="inlineStr">
        <is>
          <t>SFR</t>
        </is>
      </c>
      <c r="L1916" s="7" t="inlineStr">
        <is>
          <t>Meridian Home Loans</t>
        </is>
      </c>
      <c r="M1916" s="7" t="inlineStr">
        <is>
          <t>Pier Asset Mgmt</t>
        </is>
      </c>
    </row>
    <row r="1917">
      <c r="A1917" s="5" t="inlineStr">
        <is>
          <t>L101912</t>
        </is>
      </c>
      <c r="B1917" s="16" t="n">
        <v>294534.25</v>
      </c>
      <c r="C1917" s="16" t="n">
        <v>294274.29</v>
      </c>
      <c r="D1917" s="26" t="n">
        <v>6.623</v>
      </c>
      <c r="E1917" s="6" t="n">
        <v>689</v>
      </c>
      <c r="F1917" s="11" t="n">
        <v>80.90000000000001</v>
      </c>
      <c r="G1917" s="11" t="n">
        <v>34.7</v>
      </c>
      <c r="H1917" s="6" t="n">
        <v>1</v>
      </c>
      <c r="I1917" s="6" t="n">
        <v>359</v>
      </c>
      <c r="J1917" s="5" t="inlineStr">
        <is>
          <t>NY</t>
        </is>
      </c>
      <c r="K1917" s="5" t="inlineStr">
        <is>
          <t>SFR</t>
        </is>
      </c>
      <c r="L1917" s="5" t="inlineStr">
        <is>
          <t>Coastal Mortgage Co</t>
        </is>
      </c>
      <c r="M1917" s="5" t="inlineStr">
        <is>
          <t>Pier Asset Mgmt</t>
        </is>
      </c>
    </row>
    <row r="1918">
      <c r="A1918" s="7" t="inlineStr">
        <is>
          <t>L101913</t>
        </is>
      </c>
      <c r="B1918" s="8" t="n">
        <v>87465</v>
      </c>
      <c r="C1918" s="8" t="n">
        <v>85890.2</v>
      </c>
      <c r="D1918" s="27" t="n">
        <v>6.799</v>
      </c>
      <c r="E1918" s="10" t="n">
        <v>642</v>
      </c>
      <c r="F1918" s="12" t="n">
        <v>72.2</v>
      </c>
      <c r="G1918" s="12" t="n">
        <v>22.5</v>
      </c>
      <c r="H1918" s="10" t="n">
        <v>20</v>
      </c>
      <c r="I1918" s="10" t="n">
        <v>340</v>
      </c>
      <c r="J1918" s="7" t="inlineStr">
        <is>
          <t>CA</t>
        </is>
      </c>
      <c r="K1918" s="7" t="inlineStr">
        <is>
          <t>SFR</t>
        </is>
      </c>
      <c r="L1918" s="7" t="inlineStr">
        <is>
          <t>Apex Funding</t>
        </is>
      </c>
      <c r="M1918" s="7" t="inlineStr">
        <is>
          <t>Pier Asset Mgmt</t>
        </is>
      </c>
    </row>
    <row r="1919">
      <c r="A1919" s="5" t="inlineStr">
        <is>
          <t>L101914</t>
        </is>
      </c>
      <c r="B1919" s="16" t="n">
        <v>368283.02</v>
      </c>
      <c r="C1919" s="16" t="n">
        <v>358766.87</v>
      </c>
      <c r="D1919" s="26" t="n">
        <v>6.79</v>
      </c>
      <c r="E1919" s="6" t="n">
        <v>592</v>
      </c>
      <c r="F1919" s="11" t="n">
        <v>80.3</v>
      </c>
      <c r="G1919" s="11" t="n">
        <v>27.2</v>
      </c>
      <c r="H1919" s="6" t="n">
        <v>28</v>
      </c>
      <c r="I1919" s="6" t="n">
        <v>332</v>
      </c>
      <c r="J1919" s="5" t="inlineStr">
        <is>
          <t>TX</t>
        </is>
      </c>
      <c r="K1919" s="5" t="inlineStr">
        <is>
          <t>SFR</t>
        </is>
      </c>
      <c r="L1919" s="5" t="inlineStr">
        <is>
          <t>Meridian Home Loans</t>
        </is>
      </c>
      <c r="M1919" s="5" t="inlineStr">
        <is>
          <t>Pier Asset Mgmt</t>
        </is>
      </c>
    </row>
    <row r="1920">
      <c r="A1920" s="7" t="inlineStr">
        <is>
          <t>L101915</t>
        </is>
      </c>
      <c r="B1920" s="8" t="n">
        <v>83560.7</v>
      </c>
      <c r="C1920" s="8" t="n">
        <v>83007.77</v>
      </c>
      <c r="D1920" s="27" t="n">
        <v>5.521</v>
      </c>
      <c r="E1920" s="10" t="n">
        <v>702</v>
      </c>
      <c r="F1920" s="12" t="n">
        <v>77.8</v>
      </c>
      <c r="G1920" s="12" t="n">
        <v>32.2</v>
      </c>
      <c r="H1920" s="10" t="n">
        <v>6</v>
      </c>
      <c r="I1920" s="10" t="n">
        <v>354</v>
      </c>
      <c r="J1920" s="7" t="inlineStr">
        <is>
          <t>AZ</t>
        </is>
      </c>
      <c r="K1920" s="7" t="inlineStr">
        <is>
          <t>SFR</t>
        </is>
      </c>
      <c r="L1920" s="7" t="inlineStr">
        <is>
          <t>Apex Funding</t>
        </is>
      </c>
      <c r="M1920" s="7" t="inlineStr">
        <is>
          <t>Summit Loan Servicing</t>
        </is>
      </c>
    </row>
    <row r="1921">
      <c r="A1921" s="5" t="inlineStr">
        <is>
          <t>L101916</t>
        </is>
      </c>
      <c r="B1921" s="16" t="n">
        <v>195708.75</v>
      </c>
      <c r="C1921" s="16" t="n">
        <v>186193.02</v>
      </c>
      <c r="D1921" s="26" t="n">
        <v>4.919</v>
      </c>
      <c r="E1921" s="6" t="n">
        <v>698</v>
      </c>
      <c r="F1921" s="11" t="n">
        <v>74.7</v>
      </c>
      <c r="G1921" s="11" t="n">
        <v>30.6</v>
      </c>
      <c r="H1921" s="6" t="n">
        <v>37</v>
      </c>
      <c r="I1921" s="6" t="n">
        <v>323</v>
      </c>
      <c r="J1921" s="5" t="inlineStr">
        <is>
          <t>NY</t>
        </is>
      </c>
      <c r="K1921" s="5" t="inlineStr">
        <is>
          <t>SFR</t>
        </is>
      </c>
      <c r="L1921" s="5" t="inlineStr">
        <is>
          <t>Highline Capital</t>
        </is>
      </c>
      <c r="M1921" s="5" t="inlineStr">
        <is>
          <t>Northgate Servicing</t>
        </is>
      </c>
    </row>
    <row r="1922">
      <c r="A1922" s="7" t="inlineStr">
        <is>
          <t>L101917</t>
        </is>
      </c>
      <c r="B1922" s="8" t="n">
        <v>347622.3</v>
      </c>
      <c r="C1922" s="8" t="n">
        <v>336941.2</v>
      </c>
      <c r="D1922" s="27" t="n">
        <v>6.636</v>
      </c>
      <c r="E1922" s="10" t="n">
        <v>679</v>
      </c>
      <c r="F1922" s="12" t="n">
        <v>75.7</v>
      </c>
      <c r="G1922" s="12" t="n">
        <v>36.9</v>
      </c>
      <c r="H1922" s="10" t="n">
        <v>32</v>
      </c>
      <c r="I1922" s="10" t="n">
        <v>328</v>
      </c>
      <c r="J1922" s="7" t="inlineStr">
        <is>
          <t>AZ</t>
        </is>
      </c>
      <c r="K1922" s="7" t="inlineStr">
        <is>
          <t>SFR</t>
        </is>
      </c>
      <c r="L1922" s="7" t="inlineStr">
        <is>
          <t>Coastal Mortgage Co</t>
        </is>
      </c>
      <c r="M1922" s="7" t="inlineStr">
        <is>
          <t>Summit Loan Servicing</t>
        </is>
      </c>
    </row>
    <row r="1923">
      <c r="A1923" s="5" t="inlineStr">
        <is>
          <t>L101918</t>
        </is>
      </c>
      <c r="B1923" s="16" t="n">
        <v>217281.63</v>
      </c>
      <c r="C1923" s="16" t="n">
        <v>213886.59</v>
      </c>
      <c r="D1923" s="26" t="n">
        <v>5.945</v>
      </c>
      <c r="E1923" s="6" t="n">
        <v>727</v>
      </c>
      <c r="F1923" s="11" t="n">
        <v>79.40000000000001</v>
      </c>
      <c r="G1923" s="11" t="n">
        <v>40.7</v>
      </c>
      <c r="H1923" s="6" t="n">
        <v>15</v>
      </c>
      <c r="I1923" s="6" t="n">
        <v>345</v>
      </c>
      <c r="J1923" s="5" t="inlineStr">
        <is>
          <t>IL</t>
        </is>
      </c>
      <c r="K1923" s="5" t="inlineStr">
        <is>
          <t>SFR</t>
        </is>
      </c>
      <c r="L1923" s="5" t="inlineStr">
        <is>
          <t>Highline Capital</t>
        </is>
      </c>
      <c r="M1923" s="5" t="inlineStr">
        <is>
          <t>Summit Loan Servicing</t>
        </is>
      </c>
    </row>
    <row r="1924">
      <c r="A1924" s="7" t="inlineStr">
        <is>
          <t>L101919</t>
        </is>
      </c>
      <c r="B1924" s="8" t="n">
        <v>145340.55</v>
      </c>
      <c r="C1924" s="8" t="n">
        <v>142380.21</v>
      </c>
      <c r="D1924" s="27" t="n">
        <v>8.054</v>
      </c>
      <c r="E1924" s="10" t="n">
        <v>737</v>
      </c>
      <c r="F1924" s="12" t="n">
        <v>70.5</v>
      </c>
      <c r="G1924" s="12" t="n">
        <v>54.2</v>
      </c>
      <c r="H1924" s="10" t="n">
        <v>28</v>
      </c>
      <c r="I1924" s="10" t="n">
        <v>332</v>
      </c>
      <c r="J1924" s="7" t="inlineStr">
        <is>
          <t>OH</t>
        </is>
      </c>
      <c r="K1924" s="7" t="inlineStr">
        <is>
          <t>SFR</t>
        </is>
      </c>
      <c r="L1924" s="7" t="inlineStr">
        <is>
          <t>Coastal Mortgage Co</t>
        </is>
      </c>
      <c r="M1924" s="7" t="inlineStr">
        <is>
          <t>Northgate Servicing</t>
        </is>
      </c>
    </row>
    <row r="1925">
      <c r="A1925" s="5" t="inlineStr">
        <is>
          <t>L101920</t>
        </is>
      </c>
      <c r="B1925" s="16" t="n">
        <v>165577.07</v>
      </c>
      <c r="C1925" s="16" t="n">
        <v>163863.31</v>
      </c>
      <c r="D1925" s="26" t="n">
        <v>8.096</v>
      </c>
      <c r="E1925" s="6" t="n">
        <v>733</v>
      </c>
      <c r="F1925" s="11" t="n">
        <v>71.09999999999999</v>
      </c>
      <c r="G1925" s="11" t="n">
        <v>35.8</v>
      </c>
      <c r="H1925" s="6" t="n">
        <v>15</v>
      </c>
      <c r="I1925" s="6" t="n">
        <v>345</v>
      </c>
      <c r="J1925" s="5" t="inlineStr">
        <is>
          <t>GA</t>
        </is>
      </c>
      <c r="K1925" s="5" t="inlineStr">
        <is>
          <t>SFR</t>
        </is>
      </c>
      <c r="L1925" s="5" t="inlineStr">
        <is>
          <t>Apex Funding</t>
        </is>
      </c>
      <c r="M1925" s="5" t="inlineStr">
        <is>
          <t>Northgate Servicing</t>
        </is>
      </c>
    </row>
    <row r="1926">
      <c r="A1926" s="7" t="inlineStr">
        <is>
          <t>L101921</t>
        </is>
      </c>
      <c r="B1926" s="8" t="n">
        <v>347811.87</v>
      </c>
      <c r="C1926" s="8" t="n">
        <v>340092.75</v>
      </c>
      <c r="D1926" s="27" t="n">
        <v>8.192</v>
      </c>
      <c r="E1926" s="10" t="n">
        <v>698</v>
      </c>
      <c r="F1926" s="12" t="n">
        <v>94.5</v>
      </c>
      <c r="G1926" s="12" t="n">
        <v>44.9</v>
      </c>
      <c r="H1926" s="10" t="n">
        <v>31</v>
      </c>
      <c r="I1926" s="10" t="n">
        <v>329</v>
      </c>
      <c r="J1926" s="7" t="inlineStr">
        <is>
          <t>WA</t>
        </is>
      </c>
      <c r="K1926" s="7" t="inlineStr">
        <is>
          <t>2-4 Unit</t>
        </is>
      </c>
      <c r="L1926" s="7" t="inlineStr">
        <is>
          <t>Meridian Home Loans</t>
        </is>
      </c>
      <c r="M1926" s="7" t="inlineStr">
        <is>
          <t>Summit Loan Servicing</t>
        </is>
      </c>
    </row>
    <row r="1927">
      <c r="A1927" s="5" t="inlineStr">
        <is>
          <t>L101922</t>
        </is>
      </c>
      <c r="B1927" s="16" t="n">
        <v>123930.15</v>
      </c>
      <c r="C1927" s="16" t="n">
        <v>122838.38</v>
      </c>
      <c r="D1927" s="26" t="n">
        <v>5.554</v>
      </c>
      <c r="E1927" s="6" t="n">
        <v>654</v>
      </c>
      <c r="F1927" s="11" t="n">
        <v>97</v>
      </c>
      <c r="G1927" s="11" t="n">
        <v>29.4</v>
      </c>
      <c r="H1927" s="6" t="n">
        <v>8</v>
      </c>
      <c r="I1927" s="6" t="n">
        <v>352</v>
      </c>
      <c r="J1927" s="5" t="inlineStr">
        <is>
          <t>FL</t>
        </is>
      </c>
      <c r="K1927" s="5" t="inlineStr">
        <is>
          <t>SFR</t>
        </is>
      </c>
      <c r="L1927" s="5" t="inlineStr">
        <is>
          <t>Coastal Mortgage Co</t>
        </is>
      </c>
      <c r="M1927" s="5" t="inlineStr">
        <is>
          <t>Summit Loan Servicing</t>
        </is>
      </c>
    </row>
    <row r="1928">
      <c r="A1928" s="7" t="inlineStr">
        <is>
          <t>L101923</t>
        </is>
      </c>
      <c r="B1928" s="8" t="n">
        <v>360463.83</v>
      </c>
      <c r="C1928" s="8" t="n">
        <v>351004.43</v>
      </c>
      <c r="D1928" s="27" t="n">
        <v>6.912</v>
      </c>
      <c r="E1928" s="10" t="n">
        <v>752</v>
      </c>
      <c r="F1928" s="12" t="n">
        <v>59.5</v>
      </c>
      <c r="G1928" s="12" t="n">
        <v>22.6</v>
      </c>
      <c r="H1928" s="10" t="n">
        <v>29</v>
      </c>
      <c r="I1928" s="10" t="n">
        <v>331</v>
      </c>
      <c r="J1928" s="7" t="inlineStr">
        <is>
          <t>AZ</t>
        </is>
      </c>
      <c r="K1928" s="7" t="inlineStr">
        <is>
          <t>2-4 Unit</t>
        </is>
      </c>
      <c r="L1928" s="7" t="inlineStr">
        <is>
          <t>Highline Capital</t>
        </is>
      </c>
      <c r="M1928" s="7" t="inlineStr">
        <is>
          <t>Northgate Servicing</t>
        </is>
      </c>
    </row>
    <row r="1929">
      <c r="A1929" s="5" t="inlineStr">
        <is>
          <t>L101924</t>
        </is>
      </c>
      <c r="B1929" s="16" t="n">
        <v>238163.87</v>
      </c>
      <c r="C1929" s="16" t="n">
        <v>237595.76</v>
      </c>
      <c r="D1929" s="26" t="n">
        <v>7.184</v>
      </c>
      <c r="E1929" s="6" t="n">
        <v>716</v>
      </c>
      <c r="F1929" s="11" t="n">
        <v>58.9</v>
      </c>
      <c r="G1929" s="11" t="n">
        <v>33.2</v>
      </c>
      <c r="H1929" s="6" t="n">
        <v>3</v>
      </c>
      <c r="I1929" s="6" t="n">
        <v>357</v>
      </c>
      <c r="J1929" s="5" t="inlineStr">
        <is>
          <t>GA</t>
        </is>
      </c>
      <c r="K1929" s="5" t="inlineStr">
        <is>
          <t>2-4 Unit</t>
        </is>
      </c>
      <c r="L1929" s="5" t="inlineStr">
        <is>
          <t>Apex Funding</t>
        </is>
      </c>
      <c r="M1929" s="5" t="inlineStr">
        <is>
          <t>Summit Loan Servicing</t>
        </is>
      </c>
    </row>
    <row r="1930">
      <c r="A1930" s="7" t="inlineStr">
        <is>
          <t>L101925</t>
        </is>
      </c>
      <c r="B1930" s="8" t="n">
        <v>159957.21</v>
      </c>
      <c r="C1930" s="8" t="n">
        <v>159456.19</v>
      </c>
      <c r="D1930" s="27" t="n">
        <v>7.083</v>
      </c>
      <c r="E1930" s="10" t="n">
        <v>764</v>
      </c>
      <c r="F1930" s="12" t="n">
        <v>62.5</v>
      </c>
      <c r="G1930" s="12" t="n">
        <v>23.2</v>
      </c>
      <c r="H1930" s="10" t="n">
        <v>1</v>
      </c>
      <c r="I1930" s="10" t="n">
        <v>179</v>
      </c>
      <c r="J1930" s="7" t="inlineStr">
        <is>
          <t>TX</t>
        </is>
      </c>
      <c r="K1930" s="7" t="inlineStr">
        <is>
          <t>Multifamily</t>
        </is>
      </c>
      <c r="L1930" s="7" t="inlineStr">
        <is>
          <t>Apex Funding</t>
        </is>
      </c>
      <c r="M1930" s="7" t="inlineStr">
        <is>
          <t>Summit Loan Servicing</t>
        </is>
      </c>
    </row>
    <row r="1931">
      <c r="A1931" s="5" t="inlineStr">
        <is>
          <t>L101926</t>
        </is>
      </c>
      <c r="B1931" s="16" t="n">
        <v>197977.71</v>
      </c>
      <c r="C1931" s="16" t="n">
        <v>189634.86</v>
      </c>
      <c r="D1931" s="26" t="n">
        <v>6.081</v>
      </c>
      <c r="E1931" s="6" t="n">
        <v>758</v>
      </c>
      <c r="F1931" s="11" t="n">
        <v>72.8</v>
      </c>
      <c r="G1931" s="11" t="n">
        <v>36.1</v>
      </c>
      <c r="H1931" s="6" t="n">
        <v>12</v>
      </c>
      <c r="I1931" s="6" t="n">
        <v>168</v>
      </c>
      <c r="J1931" s="5" t="inlineStr">
        <is>
          <t>FL</t>
        </is>
      </c>
      <c r="K1931" s="5" t="inlineStr">
        <is>
          <t>SFR</t>
        </is>
      </c>
      <c r="L1931" s="5" t="inlineStr">
        <is>
          <t>Apex Funding</t>
        </is>
      </c>
      <c r="M1931" s="5" t="inlineStr">
        <is>
          <t>Northgate Servicing</t>
        </is>
      </c>
    </row>
    <row r="1932">
      <c r="A1932" s="7" t="inlineStr">
        <is>
          <t>L101927</t>
        </is>
      </c>
      <c r="B1932" s="8" t="n">
        <v>170071.03</v>
      </c>
      <c r="C1932" s="8" t="n">
        <v>168917.91</v>
      </c>
      <c r="D1932" s="27" t="n">
        <v>7.551</v>
      </c>
      <c r="E1932" s="10" t="n">
        <v>637</v>
      </c>
      <c r="F1932" s="12" t="n">
        <v>84.7</v>
      </c>
      <c r="G1932" s="12" t="n">
        <v>29.8</v>
      </c>
      <c r="H1932" s="10" t="n">
        <v>9</v>
      </c>
      <c r="I1932" s="10" t="n">
        <v>351</v>
      </c>
      <c r="J1932" s="7" t="inlineStr">
        <is>
          <t>NY</t>
        </is>
      </c>
      <c r="K1932" s="7" t="inlineStr">
        <is>
          <t>SFR</t>
        </is>
      </c>
      <c r="L1932" s="7" t="inlineStr">
        <is>
          <t>Meridian Home Loans</t>
        </is>
      </c>
      <c r="M1932" s="7" t="inlineStr">
        <is>
          <t>Summit Loan Servicing</t>
        </is>
      </c>
    </row>
    <row r="1933">
      <c r="A1933" s="5" t="inlineStr">
        <is>
          <t>L101928</t>
        </is>
      </c>
      <c r="B1933" s="16" t="n">
        <v>328791.41</v>
      </c>
      <c r="C1933" s="16" t="n">
        <v>321054.03</v>
      </c>
      <c r="D1933" s="26" t="n">
        <v>6.4</v>
      </c>
      <c r="E1933" s="6" t="n">
        <v>636</v>
      </c>
      <c r="F1933" s="11" t="n">
        <v>81.09999999999999</v>
      </c>
      <c r="G1933" s="11" t="n">
        <v>20.4</v>
      </c>
      <c r="H1933" s="6" t="n">
        <v>24</v>
      </c>
      <c r="I1933" s="6" t="n">
        <v>336</v>
      </c>
      <c r="J1933" s="5" t="inlineStr">
        <is>
          <t>TX</t>
        </is>
      </c>
      <c r="K1933" s="5" t="inlineStr">
        <is>
          <t>SFR</t>
        </is>
      </c>
      <c r="L1933" s="5" t="inlineStr">
        <is>
          <t>Highline Capital</t>
        </is>
      </c>
      <c r="M1933" s="5" t="inlineStr">
        <is>
          <t>Pier Asset Mgmt</t>
        </is>
      </c>
    </row>
    <row r="1934">
      <c r="A1934" s="7" t="inlineStr">
        <is>
          <t>L101929</t>
        </is>
      </c>
      <c r="B1934" s="8" t="n">
        <v>313749.36</v>
      </c>
      <c r="C1934" s="8" t="n">
        <v>311443.44</v>
      </c>
      <c r="D1934" s="27" t="n">
        <v>6.515</v>
      </c>
      <c r="E1934" s="10" t="n">
        <v>673</v>
      </c>
      <c r="F1934" s="12" t="n">
        <v>76.09999999999999</v>
      </c>
      <c r="G1934" s="12" t="n">
        <v>49.9</v>
      </c>
      <c r="H1934" s="10" t="n">
        <v>8</v>
      </c>
      <c r="I1934" s="10" t="n">
        <v>352</v>
      </c>
      <c r="J1934" s="7" t="inlineStr">
        <is>
          <t>WA</t>
        </is>
      </c>
      <c r="K1934" s="7" t="inlineStr">
        <is>
          <t>SFR</t>
        </is>
      </c>
      <c r="L1934" s="7" t="inlineStr">
        <is>
          <t>Coastal Mortgage Co</t>
        </is>
      </c>
      <c r="M1934" s="7" t="inlineStr">
        <is>
          <t>Pier Asset Mgmt</t>
        </is>
      </c>
    </row>
    <row r="1935">
      <c r="A1935" s="5" t="inlineStr">
        <is>
          <t>L101930</t>
        </is>
      </c>
      <c r="B1935" s="16" t="n">
        <v>133025.17</v>
      </c>
      <c r="C1935" s="16" t="n">
        <v>131068.21</v>
      </c>
      <c r="D1935" s="26" t="n">
        <v>5.016</v>
      </c>
      <c r="E1935" s="6" t="n">
        <v>657</v>
      </c>
      <c r="F1935" s="11" t="n">
        <v>80.3</v>
      </c>
      <c r="G1935" s="11" t="n">
        <v>31.7</v>
      </c>
      <c r="H1935" s="6" t="n">
        <v>12</v>
      </c>
      <c r="I1935" s="6" t="n">
        <v>348</v>
      </c>
      <c r="J1935" s="5" t="inlineStr">
        <is>
          <t>FL</t>
        </is>
      </c>
      <c r="K1935" s="5" t="inlineStr">
        <is>
          <t>SFR</t>
        </is>
      </c>
      <c r="L1935" s="5" t="inlineStr">
        <is>
          <t>Meridian Home Loans</t>
        </is>
      </c>
      <c r="M1935" s="5" t="inlineStr">
        <is>
          <t>Pier Asset Mgmt</t>
        </is>
      </c>
    </row>
    <row r="1936">
      <c r="A1936" s="7" t="inlineStr">
        <is>
          <t>L101931</t>
        </is>
      </c>
      <c r="B1936" s="8" t="n">
        <v>210816.37</v>
      </c>
      <c r="C1936" s="8" t="n">
        <v>209938.78</v>
      </c>
      <c r="D1936" s="27" t="n">
        <v>6.98</v>
      </c>
      <c r="E1936" s="10" t="n">
        <v>757</v>
      </c>
      <c r="F1936" s="12" t="n">
        <v>65.7</v>
      </c>
      <c r="G1936" s="12" t="n">
        <v>22.9</v>
      </c>
      <c r="H1936" s="10" t="n">
        <v>5</v>
      </c>
      <c r="I1936" s="10" t="n">
        <v>355</v>
      </c>
      <c r="J1936" s="7" t="inlineStr">
        <is>
          <t>GA</t>
        </is>
      </c>
      <c r="K1936" s="7" t="inlineStr">
        <is>
          <t>SFR</t>
        </is>
      </c>
      <c r="L1936" s="7" t="inlineStr">
        <is>
          <t>Highline Capital</t>
        </is>
      </c>
      <c r="M1936" s="7" t="inlineStr">
        <is>
          <t>Summit Loan Servicing</t>
        </is>
      </c>
    </row>
    <row r="1937">
      <c r="A1937" s="5" t="inlineStr">
        <is>
          <t>L101932</t>
        </is>
      </c>
      <c r="B1937" s="16" t="n">
        <v>179491.84</v>
      </c>
      <c r="C1937" s="16" t="n">
        <v>171401.28</v>
      </c>
      <c r="D1937" s="26" t="n">
        <v>6.166</v>
      </c>
      <c r="E1937" s="6" t="n">
        <v>734</v>
      </c>
      <c r="F1937" s="11" t="n">
        <v>71.09999999999999</v>
      </c>
      <c r="G1937" s="11" t="n">
        <v>43.2</v>
      </c>
      <c r="H1937" s="6" t="n">
        <v>42</v>
      </c>
      <c r="I1937" s="6" t="n">
        <v>318</v>
      </c>
      <c r="J1937" s="5" t="inlineStr">
        <is>
          <t>GA</t>
        </is>
      </c>
      <c r="K1937" s="5" t="inlineStr">
        <is>
          <t>SFR</t>
        </is>
      </c>
      <c r="L1937" s="5" t="inlineStr">
        <is>
          <t>Meridian Home Loans</t>
        </is>
      </c>
      <c r="M1937" s="5" t="inlineStr">
        <is>
          <t>Northgate Servicing</t>
        </is>
      </c>
    </row>
    <row r="1938">
      <c r="A1938" s="7" t="inlineStr">
        <is>
          <t>L101933</t>
        </is>
      </c>
      <c r="B1938" s="8" t="n">
        <v>381829.13</v>
      </c>
      <c r="C1938" s="8" t="n">
        <v>369306.92</v>
      </c>
      <c r="D1938" s="27" t="n">
        <v>6.818</v>
      </c>
      <c r="E1938" s="10" t="n">
        <v>775</v>
      </c>
      <c r="F1938" s="12" t="n">
        <v>73.8</v>
      </c>
      <c r="G1938" s="12" t="n">
        <v>30.2</v>
      </c>
      <c r="H1938" s="10" t="n">
        <v>35</v>
      </c>
      <c r="I1938" s="10" t="n">
        <v>325</v>
      </c>
      <c r="J1938" s="7" t="inlineStr">
        <is>
          <t>GA</t>
        </is>
      </c>
      <c r="K1938" s="7" t="inlineStr">
        <is>
          <t>2-4 Unit</t>
        </is>
      </c>
      <c r="L1938" s="7" t="inlineStr">
        <is>
          <t>Highline Capital</t>
        </is>
      </c>
      <c r="M1938" s="7" t="inlineStr">
        <is>
          <t>Pier Asset Mgmt</t>
        </is>
      </c>
    </row>
    <row r="1939">
      <c r="A1939" s="5" t="inlineStr">
        <is>
          <t>L101934</t>
        </is>
      </c>
      <c r="B1939" s="16" t="n">
        <v>151367.41</v>
      </c>
      <c r="C1939" s="16" t="n">
        <v>149853.4</v>
      </c>
      <c r="D1939" s="26" t="n">
        <v>6.612</v>
      </c>
      <c r="E1939" s="6" t="n">
        <v>737</v>
      </c>
      <c r="F1939" s="11" t="n">
        <v>55</v>
      </c>
      <c r="G1939" s="11" t="n">
        <v>44.7</v>
      </c>
      <c r="H1939" s="6" t="n">
        <v>11</v>
      </c>
      <c r="I1939" s="6" t="n">
        <v>349</v>
      </c>
      <c r="J1939" s="5" t="inlineStr">
        <is>
          <t>NC</t>
        </is>
      </c>
      <c r="K1939" s="5" t="inlineStr">
        <is>
          <t>SFR</t>
        </is>
      </c>
      <c r="L1939" s="5" t="inlineStr">
        <is>
          <t>Coastal Mortgage Co</t>
        </is>
      </c>
      <c r="M1939" s="5" t="inlineStr">
        <is>
          <t>Northgate Servicing</t>
        </is>
      </c>
    </row>
    <row r="1940">
      <c r="A1940" s="7" t="inlineStr">
        <is>
          <t>L101935</t>
        </is>
      </c>
      <c r="B1940" s="8" t="n">
        <v>425695.76</v>
      </c>
      <c r="C1940" s="8" t="n">
        <v>423383.46</v>
      </c>
      <c r="D1940" s="27" t="n">
        <v>6.563</v>
      </c>
      <c r="E1940" s="10" t="n">
        <v>726</v>
      </c>
      <c r="F1940" s="12" t="n">
        <v>60.1</v>
      </c>
      <c r="G1940" s="12" t="n">
        <v>30.1</v>
      </c>
      <c r="H1940" s="10" t="n">
        <v>6</v>
      </c>
      <c r="I1940" s="10" t="n">
        <v>354</v>
      </c>
      <c r="J1940" s="7" t="inlineStr">
        <is>
          <t>WA</t>
        </is>
      </c>
      <c r="K1940" s="7" t="inlineStr">
        <is>
          <t>Multifamily</t>
        </is>
      </c>
      <c r="L1940" s="7" t="inlineStr">
        <is>
          <t>Meridian Home Loans</t>
        </is>
      </c>
      <c r="M1940" s="7" t="inlineStr">
        <is>
          <t>Summit Loan Servicing</t>
        </is>
      </c>
    </row>
    <row r="1941">
      <c r="A1941" s="5" t="inlineStr">
        <is>
          <t>L101936</t>
        </is>
      </c>
      <c r="B1941" s="16" t="n">
        <v>239988.63</v>
      </c>
      <c r="C1941" s="16" t="n">
        <v>230083.36</v>
      </c>
      <c r="D1941" s="26" t="n">
        <v>6.359</v>
      </c>
      <c r="E1941" s="6" t="n">
        <v>781</v>
      </c>
      <c r="F1941" s="11" t="n">
        <v>60.5</v>
      </c>
      <c r="G1941" s="11" t="n">
        <v>31.7</v>
      </c>
      <c r="H1941" s="6" t="n">
        <v>40</v>
      </c>
      <c r="I1941" s="6" t="n">
        <v>320</v>
      </c>
      <c r="J1941" s="5" t="inlineStr">
        <is>
          <t>WA</t>
        </is>
      </c>
      <c r="K1941" s="5" t="inlineStr">
        <is>
          <t>Condo</t>
        </is>
      </c>
      <c r="L1941" s="5" t="inlineStr">
        <is>
          <t>Meridian Home Loans</t>
        </is>
      </c>
      <c r="M1941" s="5" t="inlineStr">
        <is>
          <t>Pier Asset Mgmt</t>
        </is>
      </c>
    </row>
    <row r="1942">
      <c r="A1942" s="7" t="inlineStr">
        <is>
          <t>L101937</t>
        </is>
      </c>
      <c r="B1942" s="8" t="n">
        <v>161671.69</v>
      </c>
      <c r="C1942" s="8" t="n">
        <v>157115.88</v>
      </c>
      <c r="D1942" s="27" t="n">
        <v>7.108</v>
      </c>
      <c r="E1942" s="10" t="n">
        <v>741</v>
      </c>
      <c r="F1942" s="12" t="n">
        <v>83.2</v>
      </c>
      <c r="G1942" s="12" t="n">
        <v>38.8</v>
      </c>
      <c r="H1942" s="10" t="n">
        <v>32</v>
      </c>
      <c r="I1942" s="10" t="n">
        <v>328</v>
      </c>
      <c r="J1942" s="7" t="inlineStr">
        <is>
          <t>OH</t>
        </is>
      </c>
      <c r="K1942" s="7" t="inlineStr">
        <is>
          <t>SFR</t>
        </is>
      </c>
      <c r="L1942" s="7" t="inlineStr">
        <is>
          <t>Apex Funding</t>
        </is>
      </c>
      <c r="M1942" s="7" t="inlineStr">
        <is>
          <t>Summit Loan Servicing</t>
        </is>
      </c>
    </row>
    <row r="1943">
      <c r="A1943" s="5" t="inlineStr">
        <is>
          <t>L101938</t>
        </is>
      </c>
      <c r="B1943" s="16" t="n">
        <v>191559.56</v>
      </c>
      <c r="C1943" s="16" t="n">
        <v>183007.69</v>
      </c>
      <c r="D1943" s="26" t="n">
        <v>6.221</v>
      </c>
      <c r="E1943" s="6" t="n">
        <v>719</v>
      </c>
      <c r="F1943" s="11" t="n">
        <v>76.90000000000001</v>
      </c>
      <c r="G1943" s="11" t="n">
        <v>40.7</v>
      </c>
      <c r="H1943" s="6" t="n">
        <v>42</v>
      </c>
      <c r="I1943" s="6" t="n">
        <v>318</v>
      </c>
      <c r="J1943" s="5" t="inlineStr">
        <is>
          <t>IL</t>
        </is>
      </c>
      <c r="K1943" s="5" t="inlineStr">
        <is>
          <t>SFR</t>
        </is>
      </c>
      <c r="L1943" s="5" t="inlineStr">
        <is>
          <t>Apex Funding</t>
        </is>
      </c>
      <c r="M1943" s="5" t="inlineStr">
        <is>
          <t>Pier Asset Mgmt</t>
        </is>
      </c>
    </row>
    <row r="1944">
      <c r="A1944" s="7" t="inlineStr">
        <is>
          <t>L101939</t>
        </is>
      </c>
      <c r="B1944" s="8" t="n">
        <v>183401.57</v>
      </c>
      <c r="C1944" s="8" t="n">
        <v>181417.64</v>
      </c>
      <c r="D1944" s="27" t="n">
        <v>5.09</v>
      </c>
      <c r="E1944" s="10" t="n">
        <v>796</v>
      </c>
      <c r="F1944" s="12" t="n">
        <v>81.3</v>
      </c>
      <c r="G1944" s="12" t="n">
        <v>42.1</v>
      </c>
      <c r="H1944" s="10" t="n">
        <v>9</v>
      </c>
      <c r="I1944" s="10" t="n">
        <v>351</v>
      </c>
      <c r="J1944" s="7" t="inlineStr">
        <is>
          <t>AZ</t>
        </is>
      </c>
      <c r="K1944" s="7" t="inlineStr">
        <is>
          <t>SFR</t>
        </is>
      </c>
      <c r="L1944" s="7" t="inlineStr">
        <is>
          <t>Meridian Home Loans</t>
        </is>
      </c>
      <c r="M1944" s="7" t="inlineStr">
        <is>
          <t>Summit Loan Servicing</t>
        </is>
      </c>
    </row>
    <row r="1945">
      <c r="A1945" s="5" t="inlineStr">
        <is>
          <t>L101940</t>
        </is>
      </c>
      <c r="B1945" s="16" t="n">
        <v>155419.56</v>
      </c>
      <c r="C1945" s="16" t="n">
        <v>146621.37</v>
      </c>
      <c r="D1945" s="26" t="n">
        <v>6.912</v>
      </c>
      <c r="E1945" s="6" t="n">
        <v>721</v>
      </c>
      <c r="F1945" s="11" t="n">
        <v>51.9</v>
      </c>
      <c r="G1945" s="11" t="n">
        <v>35.3</v>
      </c>
      <c r="H1945" s="6" t="n">
        <v>17</v>
      </c>
      <c r="I1945" s="6" t="n">
        <v>163</v>
      </c>
      <c r="J1945" s="5" t="inlineStr">
        <is>
          <t>TX</t>
        </is>
      </c>
      <c r="K1945" s="5" t="inlineStr">
        <is>
          <t>2-4 Unit</t>
        </is>
      </c>
      <c r="L1945" s="5" t="inlineStr">
        <is>
          <t>Coastal Mortgage Co</t>
        </is>
      </c>
      <c r="M1945" s="5" t="inlineStr">
        <is>
          <t>Pier Asset Mgmt</t>
        </is>
      </c>
    </row>
    <row r="1946">
      <c r="A1946" s="7" t="inlineStr">
        <is>
          <t>L101941</t>
        </is>
      </c>
      <c r="B1946" s="8" t="n">
        <v>250995.28</v>
      </c>
      <c r="C1946" s="8" t="n">
        <v>245607.26</v>
      </c>
      <c r="D1946" s="27" t="n">
        <v>5.672</v>
      </c>
      <c r="E1946" s="10" t="n">
        <v>698</v>
      </c>
      <c r="F1946" s="12" t="n">
        <v>56.2</v>
      </c>
      <c r="G1946" s="12" t="n">
        <v>40.2</v>
      </c>
      <c r="H1946" s="10" t="n">
        <v>6</v>
      </c>
      <c r="I1946" s="10" t="n">
        <v>174</v>
      </c>
      <c r="J1946" s="7" t="inlineStr">
        <is>
          <t>OH</t>
        </is>
      </c>
      <c r="K1946" s="7" t="inlineStr">
        <is>
          <t>Condo</t>
        </is>
      </c>
      <c r="L1946" s="7" t="inlineStr">
        <is>
          <t>Meridian Home Loans</t>
        </is>
      </c>
      <c r="M1946" s="7" t="inlineStr">
        <is>
          <t>Summit Loan Servicing</t>
        </is>
      </c>
    </row>
    <row r="1947">
      <c r="A1947" s="5" t="inlineStr">
        <is>
          <t>L101942</t>
        </is>
      </c>
      <c r="B1947" s="16" t="n">
        <v>157980.92</v>
      </c>
      <c r="C1947" s="16" t="n">
        <v>154173.64</v>
      </c>
      <c r="D1947" s="26" t="n">
        <v>5.208</v>
      </c>
      <c r="E1947" s="6" t="n">
        <v>669</v>
      </c>
      <c r="F1947" s="11" t="n">
        <v>82</v>
      </c>
      <c r="G1947" s="11" t="n">
        <v>42</v>
      </c>
      <c r="H1947" s="6" t="n">
        <v>20</v>
      </c>
      <c r="I1947" s="6" t="n">
        <v>340</v>
      </c>
      <c r="J1947" s="5" t="inlineStr">
        <is>
          <t>TX</t>
        </is>
      </c>
      <c r="K1947" s="5" t="inlineStr">
        <is>
          <t>Condo</t>
        </is>
      </c>
      <c r="L1947" s="5" t="inlineStr">
        <is>
          <t>Apex Funding</t>
        </is>
      </c>
      <c r="M1947" s="5" t="inlineStr">
        <is>
          <t>Pier Asset Mgmt</t>
        </is>
      </c>
    </row>
    <row r="1948">
      <c r="A1948" s="7" t="inlineStr">
        <is>
          <t>L101943</t>
        </is>
      </c>
      <c r="B1948" s="8" t="n">
        <v>113195.52</v>
      </c>
      <c r="C1948" s="8" t="n">
        <v>112184.54</v>
      </c>
      <c r="D1948" s="27" t="n">
        <v>5.48</v>
      </c>
      <c r="E1948" s="10" t="n">
        <v>754</v>
      </c>
      <c r="F1948" s="12" t="n">
        <v>40.7</v>
      </c>
      <c r="G1948" s="12" t="n">
        <v>37.6</v>
      </c>
      <c r="H1948" s="10" t="n">
        <v>8</v>
      </c>
      <c r="I1948" s="10" t="n">
        <v>352</v>
      </c>
      <c r="J1948" s="7" t="inlineStr">
        <is>
          <t>TX</t>
        </is>
      </c>
      <c r="K1948" s="7" t="inlineStr">
        <is>
          <t>Condo</t>
        </is>
      </c>
      <c r="L1948" s="7" t="inlineStr">
        <is>
          <t>Highline Capital</t>
        </is>
      </c>
      <c r="M1948" s="7" t="inlineStr">
        <is>
          <t>Northgate Servicing</t>
        </is>
      </c>
    </row>
    <row r="1949">
      <c r="A1949" s="5" t="inlineStr">
        <is>
          <t>L101944</t>
        </is>
      </c>
      <c r="B1949" s="16" t="n">
        <v>212588.41</v>
      </c>
      <c r="C1949" s="16" t="n">
        <v>212401.94</v>
      </c>
      <c r="D1949" s="26" t="n">
        <v>6.655</v>
      </c>
      <c r="E1949" s="6" t="n">
        <v>783</v>
      </c>
      <c r="F1949" s="11" t="n">
        <v>88.7</v>
      </c>
      <c r="G1949" s="11" t="n">
        <v>34.9</v>
      </c>
      <c r="H1949" s="6" t="n">
        <v>1</v>
      </c>
      <c r="I1949" s="6" t="n">
        <v>359</v>
      </c>
      <c r="J1949" s="5" t="inlineStr">
        <is>
          <t>OH</t>
        </is>
      </c>
      <c r="K1949" s="5" t="inlineStr">
        <is>
          <t>SFR</t>
        </is>
      </c>
      <c r="L1949" s="5" t="inlineStr">
        <is>
          <t>Coastal Mortgage Co</t>
        </is>
      </c>
      <c r="M1949" s="5" t="inlineStr">
        <is>
          <t>Summit Loan Servicing</t>
        </is>
      </c>
    </row>
    <row r="1950">
      <c r="A1950" s="7" t="inlineStr">
        <is>
          <t>L101945</t>
        </is>
      </c>
      <c r="B1950" s="8" t="n">
        <v>129184.94</v>
      </c>
      <c r="C1950" s="8" t="n">
        <v>126095.88</v>
      </c>
      <c r="D1950" s="27" t="n">
        <v>6.313</v>
      </c>
      <c r="E1950" s="10" t="n">
        <v>712</v>
      </c>
      <c r="F1950" s="12" t="n">
        <v>52.1</v>
      </c>
      <c r="G1950" s="12" t="n">
        <v>24.4</v>
      </c>
      <c r="H1950" s="10" t="n">
        <v>24</v>
      </c>
      <c r="I1950" s="10" t="n">
        <v>336</v>
      </c>
      <c r="J1950" s="7" t="inlineStr">
        <is>
          <t>AZ</t>
        </is>
      </c>
      <c r="K1950" s="7" t="inlineStr">
        <is>
          <t>Multifamily</t>
        </is>
      </c>
      <c r="L1950" s="7" t="inlineStr">
        <is>
          <t>Highline Capital</t>
        </is>
      </c>
      <c r="M1950" s="7" t="inlineStr">
        <is>
          <t>Pier Asset Mgmt</t>
        </is>
      </c>
    </row>
    <row r="1951">
      <c r="A1951" s="5" t="inlineStr">
        <is>
          <t>L101946</t>
        </is>
      </c>
      <c r="B1951" s="16" t="n">
        <v>186603.94</v>
      </c>
      <c r="C1951" s="16" t="n">
        <v>173961.26</v>
      </c>
      <c r="D1951" s="26" t="n">
        <v>4.481</v>
      </c>
      <c r="E1951" s="6" t="n">
        <v>787</v>
      </c>
      <c r="F1951" s="11" t="n">
        <v>84.09999999999999</v>
      </c>
      <c r="G1951" s="11" t="n">
        <v>40.8</v>
      </c>
      <c r="H1951" s="6" t="n">
        <v>47</v>
      </c>
      <c r="I1951" s="6" t="n">
        <v>313</v>
      </c>
      <c r="J1951" s="5" t="inlineStr">
        <is>
          <t>TX</t>
        </is>
      </c>
      <c r="K1951" s="5" t="inlineStr">
        <is>
          <t>Multifamily</t>
        </is>
      </c>
      <c r="L1951" s="5" t="inlineStr">
        <is>
          <t>Coastal Mortgage Co</t>
        </is>
      </c>
      <c r="M1951" s="5" t="inlineStr">
        <is>
          <t>Pier Asset Mgmt</t>
        </is>
      </c>
    </row>
    <row r="1952">
      <c r="A1952" s="7" t="inlineStr">
        <is>
          <t>L101947</t>
        </is>
      </c>
      <c r="B1952" s="8" t="n">
        <v>176630.28</v>
      </c>
      <c r="C1952" s="8" t="n">
        <v>170807.56</v>
      </c>
      <c r="D1952" s="27" t="n">
        <v>6.055</v>
      </c>
      <c r="E1952" s="10" t="n">
        <v>607</v>
      </c>
      <c r="F1952" s="12" t="n">
        <v>63.3</v>
      </c>
      <c r="G1952" s="12" t="n">
        <v>36.3</v>
      </c>
      <c r="H1952" s="10" t="n">
        <v>31</v>
      </c>
      <c r="I1952" s="10" t="n">
        <v>329</v>
      </c>
      <c r="J1952" s="7" t="inlineStr">
        <is>
          <t>WA</t>
        </is>
      </c>
      <c r="K1952" s="7" t="inlineStr">
        <is>
          <t>Condo</t>
        </is>
      </c>
      <c r="L1952" s="7" t="inlineStr">
        <is>
          <t>Meridian Home Loans</t>
        </is>
      </c>
      <c r="M1952" s="7" t="inlineStr">
        <is>
          <t>Pier Asset Mgmt</t>
        </is>
      </c>
    </row>
    <row r="1953">
      <c r="A1953" s="5" t="inlineStr">
        <is>
          <t>L101948</t>
        </is>
      </c>
      <c r="B1953" s="16" t="n">
        <v>178988.06</v>
      </c>
      <c r="C1953" s="16" t="n">
        <v>173596.25</v>
      </c>
      <c r="D1953" s="26" t="n">
        <v>7.452</v>
      </c>
      <c r="E1953" s="6" t="n">
        <v>712</v>
      </c>
      <c r="F1953" s="11" t="n">
        <v>86.59999999999999</v>
      </c>
      <c r="G1953" s="11" t="n">
        <v>32.7</v>
      </c>
      <c r="H1953" s="6" t="n">
        <v>36</v>
      </c>
      <c r="I1953" s="6" t="n">
        <v>324</v>
      </c>
      <c r="J1953" s="5" t="inlineStr">
        <is>
          <t>TX</t>
        </is>
      </c>
      <c r="K1953" s="5" t="inlineStr">
        <is>
          <t>SFR</t>
        </is>
      </c>
      <c r="L1953" s="5" t="inlineStr">
        <is>
          <t>Coastal Mortgage Co</t>
        </is>
      </c>
      <c r="M1953" s="5" t="inlineStr">
        <is>
          <t>Northgate Servicing</t>
        </is>
      </c>
    </row>
    <row r="1954">
      <c r="A1954" s="7" t="inlineStr">
        <is>
          <t>L101949</t>
        </is>
      </c>
      <c r="B1954" s="8" t="n">
        <v>489107.26</v>
      </c>
      <c r="C1954" s="8" t="n">
        <v>468175.42</v>
      </c>
      <c r="D1954" s="27" t="n">
        <v>5.994</v>
      </c>
      <c r="E1954" s="10" t="n">
        <v>713</v>
      </c>
      <c r="F1954" s="12" t="n">
        <v>97</v>
      </c>
      <c r="G1954" s="12" t="n">
        <v>46.2</v>
      </c>
      <c r="H1954" s="10" t="n">
        <v>39</v>
      </c>
      <c r="I1954" s="10" t="n">
        <v>321</v>
      </c>
      <c r="J1954" s="7" t="inlineStr">
        <is>
          <t>CA</t>
        </is>
      </c>
      <c r="K1954" s="7" t="inlineStr">
        <is>
          <t>SFR</t>
        </is>
      </c>
      <c r="L1954" s="7" t="inlineStr">
        <is>
          <t>Highline Capital</t>
        </is>
      </c>
      <c r="M1954" s="7" t="inlineStr">
        <is>
          <t>Summit Loan Servicing</t>
        </is>
      </c>
    </row>
    <row r="1955">
      <c r="A1955" s="5" t="inlineStr">
        <is>
          <t>L101950</t>
        </is>
      </c>
      <c r="B1955" s="16" t="n">
        <v>247643.14</v>
      </c>
      <c r="C1955" s="16" t="n">
        <v>235467.4</v>
      </c>
      <c r="D1955" s="26" t="n">
        <v>6.251</v>
      </c>
      <c r="E1955" s="6" t="n">
        <v>675</v>
      </c>
      <c r="F1955" s="11" t="n">
        <v>46.7</v>
      </c>
      <c r="G1955" s="11" t="n">
        <v>24.6</v>
      </c>
      <c r="H1955" s="6" t="n">
        <v>46</v>
      </c>
      <c r="I1955" s="6" t="n">
        <v>314</v>
      </c>
      <c r="J1955" s="5" t="inlineStr">
        <is>
          <t>WA</t>
        </is>
      </c>
      <c r="K1955" s="5" t="inlineStr">
        <is>
          <t>SFR</t>
        </is>
      </c>
      <c r="L1955" s="5" t="inlineStr">
        <is>
          <t>Highline Capital</t>
        </is>
      </c>
      <c r="M1955" s="5" t="inlineStr">
        <is>
          <t>Summit Loan Servicing</t>
        </is>
      </c>
    </row>
    <row r="1956">
      <c r="A1956" s="7" t="inlineStr">
        <is>
          <t>L101951</t>
        </is>
      </c>
      <c r="B1956" s="8" t="n">
        <v>264574.95</v>
      </c>
      <c r="C1956" s="8" t="n">
        <v>263129.25</v>
      </c>
      <c r="D1956" s="27" t="n">
        <v>7.339</v>
      </c>
      <c r="E1956" s="10" t="n">
        <v>820</v>
      </c>
      <c r="F1956" s="12" t="n">
        <v>82.3</v>
      </c>
      <c r="G1956" s="12" t="n">
        <v>49.2</v>
      </c>
      <c r="H1956" s="10" t="n">
        <v>7</v>
      </c>
      <c r="I1956" s="10" t="n">
        <v>353</v>
      </c>
      <c r="J1956" s="7" t="inlineStr">
        <is>
          <t>FL</t>
        </is>
      </c>
      <c r="K1956" s="7" t="inlineStr">
        <is>
          <t>SFR</t>
        </is>
      </c>
      <c r="L1956" s="7" t="inlineStr">
        <is>
          <t>Apex Funding</t>
        </is>
      </c>
      <c r="M1956" s="7" t="inlineStr">
        <is>
          <t>Summit Loan Servicing</t>
        </is>
      </c>
    </row>
    <row r="1957">
      <c r="A1957" s="5" t="inlineStr">
        <is>
          <t>L101952</t>
        </is>
      </c>
      <c r="B1957" s="16" t="n">
        <v>130386.79</v>
      </c>
      <c r="C1957" s="16" t="n">
        <v>129091.63</v>
      </c>
      <c r="D1957" s="26" t="n">
        <v>7.116</v>
      </c>
      <c r="E1957" s="6" t="n">
        <v>711</v>
      </c>
      <c r="F1957" s="11" t="n">
        <v>52.3</v>
      </c>
      <c r="G1957" s="11" t="n">
        <v>35.8</v>
      </c>
      <c r="H1957" s="6" t="n">
        <v>12</v>
      </c>
      <c r="I1957" s="6" t="n">
        <v>348</v>
      </c>
      <c r="J1957" s="5" t="inlineStr">
        <is>
          <t>FL</t>
        </is>
      </c>
      <c r="K1957" s="5" t="inlineStr">
        <is>
          <t>SFR</t>
        </is>
      </c>
      <c r="L1957" s="5" t="inlineStr">
        <is>
          <t>Coastal Mortgage Co</t>
        </is>
      </c>
      <c r="M1957" s="5" t="inlineStr">
        <is>
          <t>Summit Loan Servicing</t>
        </is>
      </c>
    </row>
    <row r="1958">
      <c r="A1958" s="7" t="inlineStr">
        <is>
          <t>L101953</t>
        </is>
      </c>
      <c r="B1958" s="8" t="n">
        <v>193128.86</v>
      </c>
      <c r="C1958" s="8" t="n">
        <v>174393.7</v>
      </c>
      <c r="D1958" s="27" t="n">
        <v>7.32</v>
      </c>
      <c r="E1958" s="10" t="n">
        <v>693</v>
      </c>
      <c r="F1958" s="12" t="n">
        <v>79.09999999999999</v>
      </c>
      <c r="G1958" s="12" t="n">
        <v>38.5</v>
      </c>
      <c r="H1958" s="10" t="n">
        <v>29</v>
      </c>
      <c r="I1958" s="10" t="n">
        <v>151</v>
      </c>
      <c r="J1958" s="7" t="inlineStr">
        <is>
          <t>AZ</t>
        </is>
      </c>
      <c r="K1958" s="7" t="inlineStr">
        <is>
          <t>Condo</t>
        </is>
      </c>
      <c r="L1958" s="7" t="inlineStr">
        <is>
          <t>Highline Capital</t>
        </is>
      </c>
      <c r="M1958" s="7" t="inlineStr">
        <is>
          <t>Summit Loan Servicing</t>
        </is>
      </c>
    </row>
    <row r="1959">
      <c r="A1959" s="5" t="inlineStr">
        <is>
          <t>L101954</t>
        </is>
      </c>
      <c r="B1959" s="16" t="n">
        <v>261805.18</v>
      </c>
      <c r="C1959" s="16" t="n">
        <v>217299.41</v>
      </c>
      <c r="D1959" s="26" t="n">
        <v>3.905</v>
      </c>
      <c r="E1959" s="6" t="n">
        <v>716</v>
      </c>
      <c r="F1959" s="11" t="n">
        <v>71.5</v>
      </c>
      <c r="G1959" s="11" t="n">
        <v>32.8</v>
      </c>
      <c r="H1959" s="6" t="n">
        <v>39</v>
      </c>
      <c r="I1959" s="6" t="n">
        <v>141</v>
      </c>
      <c r="J1959" s="5" t="inlineStr">
        <is>
          <t>NC</t>
        </is>
      </c>
      <c r="K1959" s="5" t="inlineStr">
        <is>
          <t>Multifamily</t>
        </is>
      </c>
      <c r="L1959" s="5" t="inlineStr">
        <is>
          <t>Apex Funding</t>
        </is>
      </c>
      <c r="M1959" s="5" t="inlineStr">
        <is>
          <t>Northgate Servicing</t>
        </is>
      </c>
    </row>
    <row r="1960">
      <c r="A1960" s="7" t="inlineStr">
        <is>
          <t>L101955</t>
        </is>
      </c>
      <c r="B1960" s="8" t="n">
        <v>169636.79</v>
      </c>
      <c r="C1960" s="8" t="n">
        <v>164842.54</v>
      </c>
      <c r="D1960" s="27" t="n">
        <v>7.96</v>
      </c>
      <c r="E1960" s="10" t="n">
        <v>605</v>
      </c>
      <c r="F1960" s="12" t="n">
        <v>75.59999999999999</v>
      </c>
      <c r="G1960" s="12" t="n">
        <v>22.7</v>
      </c>
      <c r="H1960" s="10" t="n">
        <v>37</v>
      </c>
      <c r="I1960" s="10" t="n">
        <v>323</v>
      </c>
      <c r="J1960" s="7" t="inlineStr">
        <is>
          <t>GA</t>
        </is>
      </c>
      <c r="K1960" s="7" t="inlineStr">
        <is>
          <t>SFR</t>
        </is>
      </c>
      <c r="L1960" s="7" t="inlineStr">
        <is>
          <t>Highline Capital</t>
        </is>
      </c>
      <c r="M1960" s="7" t="inlineStr">
        <is>
          <t>Pier Asset Mgmt</t>
        </is>
      </c>
    </row>
    <row r="1961">
      <c r="A1961" s="5" t="inlineStr">
        <is>
          <t>L101956</t>
        </is>
      </c>
      <c r="B1961" s="16" t="n">
        <v>333641.38</v>
      </c>
      <c r="C1961" s="16" t="n">
        <v>323004.08</v>
      </c>
      <c r="D1961" s="26" t="n">
        <v>6.973</v>
      </c>
      <c r="E1961" s="6" t="n">
        <v>673</v>
      </c>
      <c r="F1961" s="11" t="n">
        <v>63.1</v>
      </c>
      <c r="G1961" s="11" t="n">
        <v>34.9</v>
      </c>
      <c r="H1961" s="6" t="n">
        <v>35</v>
      </c>
      <c r="I1961" s="6" t="n">
        <v>325</v>
      </c>
      <c r="J1961" s="5" t="inlineStr">
        <is>
          <t>WA</t>
        </is>
      </c>
      <c r="K1961" s="5" t="inlineStr">
        <is>
          <t>SFR</t>
        </is>
      </c>
      <c r="L1961" s="5" t="inlineStr">
        <is>
          <t>Apex Funding</t>
        </is>
      </c>
      <c r="M1961" s="5" t="inlineStr">
        <is>
          <t>Northgate Servicing</t>
        </is>
      </c>
    </row>
    <row r="1962">
      <c r="A1962" s="7" t="inlineStr">
        <is>
          <t>L101957</t>
        </is>
      </c>
      <c r="B1962" s="8" t="n">
        <v>159381.53</v>
      </c>
      <c r="C1962" s="8" t="n">
        <v>157893.8</v>
      </c>
      <c r="D1962" s="27" t="n">
        <v>8.615</v>
      </c>
      <c r="E1962" s="10" t="n">
        <v>769</v>
      </c>
      <c r="F1962" s="12" t="n">
        <v>83.40000000000001</v>
      </c>
      <c r="G1962" s="12" t="n">
        <v>38.7</v>
      </c>
      <c r="H1962" s="10" t="n">
        <v>15</v>
      </c>
      <c r="I1962" s="10" t="n">
        <v>345</v>
      </c>
      <c r="J1962" s="7" t="inlineStr">
        <is>
          <t>CA</t>
        </is>
      </c>
      <c r="K1962" s="7" t="inlineStr">
        <is>
          <t>SFR</t>
        </is>
      </c>
      <c r="L1962" s="7" t="inlineStr">
        <is>
          <t>Apex Funding</t>
        </is>
      </c>
      <c r="M1962" s="7" t="inlineStr">
        <is>
          <t>Summit Loan Servicing</t>
        </is>
      </c>
    </row>
    <row r="1963">
      <c r="A1963" s="5" t="inlineStr">
        <is>
          <t>L101958</t>
        </is>
      </c>
      <c r="B1963" s="16" t="n">
        <v>219645.87</v>
      </c>
      <c r="C1963" s="16" t="n">
        <v>215302.98</v>
      </c>
      <c r="D1963" s="26" t="n">
        <v>5.696</v>
      </c>
      <c r="E1963" s="6" t="n">
        <v>680</v>
      </c>
      <c r="F1963" s="11" t="n">
        <v>56.6</v>
      </c>
      <c r="G1963" s="11" t="n">
        <v>41.4</v>
      </c>
      <c r="H1963" s="6" t="n">
        <v>18</v>
      </c>
      <c r="I1963" s="6" t="n">
        <v>342</v>
      </c>
      <c r="J1963" s="5" t="inlineStr">
        <is>
          <t>WA</t>
        </is>
      </c>
      <c r="K1963" s="5" t="inlineStr">
        <is>
          <t>Multifamily</t>
        </is>
      </c>
      <c r="L1963" s="5" t="inlineStr">
        <is>
          <t>Highline Capital</t>
        </is>
      </c>
      <c r="M1963" s="5" t="inlineStr">
        <is>
          <t>Northgate Servicing</t>
        </is>
      </c>
    </row>
    <row r="1964">
      <c r="A1964" s="7" t="inlineStr">
        <is>
          <t>L101959</t>
        </is>
      </c>
      <c r="B1964" s="8" t="n">
        <v>197774.33</v>
      </c>
      <c r="C1964" s="8" t="n">
        <v>196784.53</v>
      </c>
      <c r="D1964" s="27" t="n">
        <v>4.813</v>
      </c>
      <c r="E1964" s="10" t="n">
        <v>669</v>
      </c>
      <c r="F1964" s="12" t="n">
        <v>88.90000000000001</v>
      </c>
      <c r="G1964" s="12" t="n">
        <v>34.4</v>
      </c>
      <c r="H1964" s="10" t="n">
        <v>4</v>
      </c>
      <c r="I1964" s="10" t="n">
        <v>356</v>
      </c>
      <c r="J1964" s="7" t="inlineStr">
        <is>
          <t>FL</t>
        </is>
      </c>
      <c r="K1964" s="7" t="inlineStr">
        <is>
          <t>Condo</t>
        </is>
      </c>
      <c r="L1964" s="7" t="inlineStr">
        <is>
          <t>Highline Capital</t>
        </is>
      </c>
      <c r="M1964" s="7" t="inlineStr">
        <is>
          <t>Summit Loan Servicing</t>
        </is>
      </c>
    </row>
    <row r="1965">
      <c r="A1965" s="5" t="inlineStr">
        <is>
          <t>L101960</t>
        </is>
      </c>
      <c r="B1965" s="16" t="n">
        <v>257175.04</v>
      </c>
      <c r="C1965" s="16" t="n">
        <v>253487.67</v>
      </c>
      <c r="D1965" s="26" t="n">
        <v>6.406</v>
      </c>
      <c r="E1965" s="6" t="n">
        <v>787</v>
      </c>
      <c r="F1965" s="11" t="n">
        <v>69.09999999999999</v>
      </c>
      <c r="G1965" s="11" t="n">
        <v>18.5</v>
      </c>
      <c r="H1965" s="6" t="n">
        <v>15</v>
      </c>
      <c r="I1965" s="6" t="n">
        <v>345</v>
      </c>
      <c r="J1965" s="5" t="inlineStr">
        <is>
          <t>NC</t>
        </is>
      </c>
      <c r="K1965" s="5" t="inlineStr">
        <is>
          <t>SFR</t>
        </is>
      </c>
      <c r="L1965" s="5" t="inlineStr">
        <is>
          <t>Apex Funding</t>
        </is>
      </c>
      <c r="M1965" s="5" t="inlineStr">
        <is>
          <t>Northgate Servicing</t>
        </is>
      </c>
    </row>
    <row r="1966">
      <c r="A1966" s="7" t="inlineStr">
        <is>
          <t>L101961</t>
        </is>
      </c>
      <c r="B1966" s="8" t="n">
        <v>194041.72</v>
      </c>
      <c r="C1966" s="8" t="n">
        <v>192513.54</v>
      </c>
      <c r="D1966" s="27" t="n">
        <v>6.152</v>
      </c>
      <c r="E1966" s="10" t="n">
        <v>789</v>
      </c>
      <c r="F1966" s="12" t="n">
        <v>57.2</v>
      </c>
      <c r="G1966" s="12" t="n">
        <v>23.7</v>
      </c>
      <c r="H1966" s="10" t="n">
        <v>8</v>
      </c>
      <c r="I1966" s="10" t="n">
        <v>352</v>
      </c>
      <c r="J1966" s="7" t="inlineStr">
        <is>
          <t>NY</t>
        </is>
      </c>
      <c r="K1966" s="7" t="inlineStr">
        <is>
          <t>SFR</t>
        </is>
      </c>
      <c r="L1966" s="7" t="inlineStr">
        <is>
          <t>Meridian Home Loans</t>
        </is>
      </c>
      <c r="M1966" s="7" t="inlineStr">
        <is>
          <t>Pier Asset Mgmt</t>
        </is>
      </c>
    </row>
    <row r="1967">
      <c r="A1967" s="5" t="inlineStr">
        <is>
          <t>L101962</t>
        </is>
      </c>
      <c r="B1967" s="16" t="n">
        <v>220838.56</v>
      </c>
      <c r="C1967" s="16" t="n">
        <v>211534.39</v>
      </c>
      <c r="D1967" s="26" t="n">
        <v>6.988</v>
      </c>
      <c r="E1967" s="6" t="n">
        <v>743</v>
      </c>
      <c r="F1967" s="11" t="n">
        <v>93.09999999999999</v>
      </c>
      <c r="G1967" s="11" t="n">
        <v>52.4</v>
      </c>
      <c r="H1967" s="6" t="n">
        <v>45</v>
      </c>
      <c r="I1967" s="6" t="n">
        <v>315</v>
      </c>
      <c r="J1967" s="5" t="inlineStr">
        <is>
          <t>FL</t>
        </is>
      </c>
      <c r="K1967" s="5" t="inlineStr">
        <is>
          <t>SFR</t>
        </is>
      </c>
      <c r="L1967" s="5" t="inlineStr">
        <is>
          <t>Coastal Mortgage Co</t>
        </is>
      </c>
      <c r="M1967" s="5" t="inlineStr">
        <is>
          <t>Summit Loan Servicing</t>
        </is>
      </c>
    </row>
    <row r="1968">
      <c r="A1968" s="7" t="inlineStr">
        <is>
          <t>L101963</t>
        </is>
      </c>
      <c r="B1968" s="8" t="n">
        <v>223541.97</v>
      </c>
      <c r="C1968" s="8" t="n">
        <v>222679.6</v>
      </c>
      <c r="D1968" s="27" t="n">
        <v>7.367</v>
      </c>
      <c r="E1968" s="10" t="n">
        <v>690</v>
      </c>
      <c r="F1968" s="12" t="n">
        <v>73.2</v>
      </c>
      <c r="G1968" s="12" t="n">
        <v>27.3</v>
      </c>
      <c r="H1968" s="10" t="n">
        <v>5</v>
      </c>
      <c r="I1968" s="10" t="n">
        <v>355</v>
      </c>
      <c r="J1968" s="7" t="inlineStr">
        <is>
          <t>NY</t>
        </is>
      </c>
      <c r="K1968" s="7" t="inlineStr">
        <is>
          <t>SFR</t>
        </is>
      </c>
      <c r="L1968" s="7" t="inlineStr">
        <is>
          <t>Apex Funding</t>
        </is>
      </c>
      <c r="M1968" s="7" t="inlineStr">
        <is>
          <t>Pier Asset Mgmt</t>
        </is>
      </c>
    </row>
    <row r="1969">
      <c r="A1969" s="5" t="inlineStr">
        <is>
          <t>L101964</t>
        </is>
      </c>
      <c r="B1969" s="16" t="n">
        <v>187768.35</v>
      </c>
      <c r="C1969" s="16" t="n">
        <v>175940.45</v>
      </c>
      <c r="D1969" s="26" t="n">
        <v>6.321</v>
      </c>
      <c r="E1969" s="6" t="n">
        <v>702</v>
      </c>
      <c r="F1969" s="11" t="n">
        <v>96.90000000000001</v>
      </c>
      <c r="G1969" s="11" t="n">
        <v>47.4</v>
      </c>
      <c r="H1969" s="6" t="n">
        <v>18</v>
      </c>
      <c r="I1969" s="6" t="n">
        <v>162</v>
      </c>
      <c r="J1969" s="5" t="inlineStr">
        <is>
          <t>GA</t>
        </is>
      </c>
      <c r="K1969" s="5" t="inlineStr">
        <is>
          <t>SFR</t>
        </is>
      </c>
      <c r="L1969" s="5" t="inlineStr">
        <is>
          <t>Apex Funding</t>
        </is>
      </c>
      <c r="M1969" s="5" t="inlineStr">
        <is>
          <t>Summit Loan Servicing</t>
        </is>
      </c>
    </row>
    <row r="1970">
      <c r="A1970" s="7" t="inlineStr">
        <is>
          <t>L101965</t>
        </is>
      </c>
      <c r="B1970" s="8" t="n">
        <v>287731.45</v>
      </c>
      <c r="C1970" s="8" t="n">
        <v>274800.48</v>
      </c>
      <c r="D1970" s="27" t="n">
        <v>6.183</v>
      </c>
      <c r="E1970" s="10" t="n">
        <v>671</v>
      </c>
      <c r="F1970" s="12" t="n">
        <v>88.7</v>
      </c>
      <c r="G1970" s="12" t="n">
        <v>28.5</v>
      </c>
      <c r="H1970" s="10" t="n">
        <v>42</v>
      </c>
      <c r="I1970" s="10" t="n">
        <v>318</v>
      </c>
      <c r="J1970" s="7" t="inlineStr">
        <is>
          <t>OH</t>
        </is>
      </c>
      <c r="K1970" s="7" t="inlineStr">
        <is>
          <t>SFR</t>
        </is>
      </c>
      <c r="L1970" s="7" t="inlineStr">
        <is>
          <t>Coastal Mortgage Co</t>
        </is>
      </c>
      <c r="M1970" s="7" t="inlineStr">
        <is>
          <t>Pier Asset Mgmt</t>
        </is>
      </c>
    </row>
    <row r="1971">
      <c r="A1971" s="5" t="inlineStr">
        <is>
          <t>L101966</t>
        </is>
      </c>
      <c r="B1971" s="16" t="n">
        <v>263929.14</v>
      </c>
      <c r="C1971" s="16" t="n">
        <v>252573.67</v>
      </c>
      <c r="D1971" s="26" t="n">
        <v>6.87</v>
      </c>
      <c r="E1971" s="6" t="n">
        <v>660</v>
      </c>
      <c r="F1971" s="11" t="n">
        <v>64.40000000000001</v>
      </c>
      <c r="G1971" s="11" t="n">
        <v>34.5</v>
      </c>
      <c r="H1971" s="6" t="n">
        <v>45</v>
      </c>
      <c r="I1971" s="6" t="n">
        <v>315</v>
      </c>
      <c r="J1971" s="5" t="inlineStr">
        <is>
          <t>TX</t>
        </is>
      </c>
      <c r="K1971" s="5" t="inlineStr">
        <is>
          <t>SFR</t>
        </is>
      </c>
      <c r="L1971" s="5" t="inlineStr">
        <is>
          <t>Meridian Home Loans</t>
        </is>
      </c>
      <c r="M1971" s="5" t="inlineStr">
        <is>
          <t>Summit Loan Servicing</t>
        </is>
      </c>
    </row>
    <row r="1972">
      <c r="A1972" s="7" t="inlineStr">
        <is>
          <t>L101967</t>
        </is>
      </c>
      <c r="B1972" s="8" t="n">
        <v>235386.73</v>
      </c>
      <c r="C1972" s="8" t="n">
        <v>220381.31</v>
      </c>
      <c r="D1972" s="27" t="n">
        <v>6.169</v>
      </c>
      <c r="E1972" s="10" t="n">
        <v>658</v>
      </c>
      <c r="F1972" s="12" t="n">
        <v>73</v>
      </c>
      <c r="G1972" s="12" t="n">
        <v>41</v>
      </c>
      <c r="H1972" s="10" t="n">
        <v>18</v>
      </c>
      <c r="I1972" s="10" t="n">
        <v>162</v>
      </c>
      <c r="J1972" s="7" t="inlineStr">
        <is>
          <t>NC</t>
        </is>
      </c>
      <c r="K1972" s="7" t="inlineStr">
        <is>
          <t>SFR</t>
        </is>
      </c>
      <c r="L1972" s="7" t="inlineStr">
        <is>
          <t>Highline Capital</t>
        </is>
      </c>
      <c r="M1972" s="7" t="inlineStr">
        <is>
          <t>Summit Loan Servicing</t>
        </is>
      </c>
    </row>
    <row r="1973">
      <c r="A1973" s="5" t="inlineStr">
        <is>
          <t>L101968</t>
        </is>
      </c>
      <c r="B1973" s="16" t="n">
        <v>208843.32</v>
      </c>
      <c r="C1973" s="16" t="n">
        <v>204103.2</v>
      </c>
      <c r="D1973" s="26" t="n">
        <v>6.094</v>
      </c>
      <c r="E1973" s="6" t="n">
        <v>681</v>
      </c>
      <c r="F1973" s="11" t="n">
        <v>75.5</v>
      </c>
      <c r="G1973" s="11" t="n">
        <v>29.4</v>
      </c>
      <c r="H1973" s="6" t="n">
        <v>22</v>
      </c>
      <c r="I1973" s="6" t="n">
        <v>338</v>
      </c>
      <c r="J1973" s="5" t="inlineStr">
        <is>
          <t>OH</t>
        </is>
      </c>
      <c r="K1973" s="5" t="inlineStr">
        <is>
          <t>SFR</t>
        </is>
      </c>
      <c r="L1973" s="5" t="inlineStr">
        <is>
          <t>Highline Capital</t>
        </is>
      </c>
      <c r="M1973" s="5" t="inlineStr">
        <is>
          <t>Northgate Servicing</t>
        </is>
      </c>
    </row>
    <row r="1974">
      <c r="A1974" s="7" t="inlineStr">
        <is>
          <t>L101969</t>
        </is>
      </c>
      <c r="B1974" s="8" t="n">
        <v>320869.7</v>
      </c>
      <c r="C1974" s="8" t="n">
        <v>314241.25</v>
      </c>
      <c r="D1974" s="27" t="n">
        <v>7.333</v>
      </c>
      <c r="E1974" s="10" t="n">
        <v>658</v>
      </c>
      <c r="F1974" s="12" t="n">
        <v>92.3</v>
      </c>
      <c r="G1974" s="12" t="n">
        <v>48.7</v>
      </c>
      <c r="H1974" s="10" t="n">
        <v>25</v>
      </c>
      <c r="I1974" s="10" t="n">
        <v>335</v>
      </c>
      <c r="J1974" s="7" t="inlineStr">
        <is>
          <t>AZ</t>
        </is>
      </c>
      <c r="K1974" s="7" t="inlineStr">
        <is>
          <t>Condo</t>
        </is>
      </c>
      <c r="L1974" s="7" t="inlineStr">
        <is>
          <t>Meridian Home Loans</t>
        </is>
      </c>
      <c r="M1974" s="7" t="inlineStr">
        <is>
          <t>Northgate Servicing</t>
        </is>
      </c>
    </row>
    <row r="1975">
      <c r="A1975" s="5" t="inlineStr">
        <is>
          <t>L101970</t>
        </is>
      </c>
      <c r="B1975" s="16" t="n">
        <v>223565.12</v>
      </c>
      <c r="C1975" s="16" t="n">
        <v>216308.72</v>
      </c>
      <c r="D1975" s="26" t="n">
        <v>7.534</v>
      </c>
      <c r="E1975" s="6" t="n">
        <v>629</v>
      </c>
      <c r="F1975" s="11" t="n">
        <v>79.3</v>
      </c>
      <c r="G1975" s="11" t="n">
        <v>36.6</v>
      </c>
      <c r="H1975" s="6" t="n">
        <v>39</v>
      </c>
      <c r="I1975" s="6" t="n">
        <v>321</v>
      </c>
      <c r="J1975" s="5" t="inlineStr">
        <is>
          <t>WA</t>
        </is>
      </c>
      <c r="K1975" s="5" t="inlineStr">
        <is>
          <t>SFR</t>
        </is>
      </c>
      <c r="L1975" s="5" t="inlineStr">
        <is>
          <t>Coastal Mortgage Co</t>
        </is>
      </c>
      <c r="M1975" s="5" t="inlineStr">
        <is>
          <t>Northgate Servicing</t>
        </is>
      </c>
    </row>
    <row r="1976">
      <c r="A1976" s="7" t="inlineStr">
        <is>
          <t>L101971</t>
        </is>
      </c>
      <c r="B1976" s="8" t="n">
        <v>218088.44</v>
      </c>
      <c r="C1976" s="8" t="n">
        <v>211219.05</v>
      </c>
      <c r="D1976" s="27" t="n">
        <v>7.376</v>
      </c>
      <c r="E1976" s="10" t="n">
        <v>727</v>
      </c>
      <c r="F1976" s="12" t="n">
        <v>76.09999999999999</v>
      </c>
      <c r="G1976" s="12" t="n">
        <v>39.7</v>
      </c>
      <c r="H1976" s="10" t="n">
        <v>37</v>
      </c>
      <c r="I1976" s="10" t="n">
        <v>323</v>
      </c>
      <c r="J1976" s="7" t="inlineStr">
        <is>
          <t>CA</t>
        </is>
      </c>
      <c r="K1976" s="7" t="inlineStr">
        <is>
          <t>SFR</t>
        </is>
      </c>
      <c r="L1976" s="7" t="inlineStr">
        <is>
          <t>Coastal Mortgage Co</t>
        </is>
      </c>
      <c r="M1976" s="7" t="inlineStr">
        <is>
          <t>Summit Loan Servicing</t>
        </is>
      </c>
    </row>
    <row r="1977">
      <c r="A1977" s="5" t="inlineStr">
        <is>
          <t>L101972</t>
        </is>
      </c>
      <c r="B1977" s="16" t="n">
        <v>251863.24</v>
      </c>
      <c r="C1977" s="16" t="n">
        <v>245498.89</v>
      </c>
      <c r="D1977" s="26" t="n">
        <v>6.249</v>
      </c>
      <c r="E1977" s="6" t="n">
        <v>728</v>
      </c>
      <c r="F1977" s="11" t="n">
        <v>71.59999999999999</v>
      </c>
      <c r="G1977" s="11" t="n">
        <v>33.9</v>
      </c>
      <c r="H1977" s="6" t="n">
        <v>25</v>
      </c>
      <c r="I1977" s="6" t="n">
        <v>335</v>
      </c>
      <c r="J1977" s="5" t="inlineStr">
        <is>
          <t>NY</t>
        </is>
      </c>
      <c r="K1977" s="5" t="inlineStr">
        <is>
          <t>Multifamily</t>
        </is>
      </c>
      <c r="L1977" s="5" t="inlineStr">
        <is>
          <t>Highline Capital</t>
        </is>
      </c>
      <c r="M1977" s="5" t="inlineStr">
        <is>
          <t>Pier Asset Mgmt</t>
        </is>
      </c>
    </row>
    <row r="1978">
      <c r="A1978" s="7" t="inlineStr">
        <is>
          <t>L101973</t>
        </is>
      </c>
      <c r="B1978" s="8" t="n">
        <v>439681.26</v>
      </c>
      <c r="C1978" s="8" t="n">
        <v>428871.5</v>
      </c>
      <c r="D1978" s="27" t="n">
        <v>4.474</v>
      </c>
      <c r="E1978" s="10" t="n">
        <v>809</v>
      </c>
      <c r="F1978" s="12" t="n">
        <v>73.40000000000001</v>
      </c>
      <c r="G1978" s="12" t="n">
        <v>41.3</v>
      </c>
      <c r="H1978" s="10" t="n">
        <v>18</v>
      </c>
      <c r="I1978" s="10" t="n">
        <v>342</v>
      </c>
      <c r="J1978" s="7" t="inlineStr">
        <is>
          <t>IL</t>
        </is>
      </c>
      <c r="K1978" s="7" t="inlineStr">
        <is>
          <t>SFR</t>
        </is>
      </c>
      <c r="L1978" s="7" t="inlineStr">
        <is>
          <t>Highline Capital</t>
        </is>
      </c>
      <c r="M1978" s="7" t="inlineStr">
        <is>
          <t>Pier Asset Mgmt</t>
        </is>
      </c>
    </row>
    <row r="1979">
      <c r="A1979" s="5" t="inlineStr">
        <is>
          <t>L101974</t>
        </is>
      </c>
      <c r="B1979" s="16" t="n">
        <v>151884.45</v>
      </c>
      <c r="C1979" s="16" t="n">
        <v>149180.86</v>
      </c>
      <c r="D1979" s="26" t="n">
        <v>6.267</v>
      </c>
      <c r="E1979" s="6" t="n">
        <v>678</v>
      </c>
      <c r="F1979" s="11" t="n">
        <v>89.7</v>
      </c>
      <c r="G1979" s="11" t="n">
        <v>48.6</v>
      </c>
      <c r="H1979" s="6" t="n">
        <v>18</v>
      </c>
      <c r="I1979" s="6" t="n">
        <v>342</v>
      </c>
      <c r="J1979" s="5" t="inlineStr">
        <is>
          <t>GA</t>
        </is>
      </c>
      <c r="K1979" s="5" t="inlineStr">
        <is>
          <t>SFR</t>
        </is>
      </c>
      <c r="L1979" s="5" t="inlineStr">
        <is>
          <t>Coastal Mortgage Co</t>
        </is>
      </c>
      <c r="M1979" s="5" t="inlineStr">
        <is>
          <t>Pier Asset Mgmt</t>
        </is>
      </c>
    </row>
    <row r="1980">
      <c r="A1980" s="7" t="inlineStr">
        <is>
          <t>L101975</t>
        </is>
      </c>
      <c r="B1980" s="8" t="n">
        <v>317886.57</v>
      </c>
      <c r="C1980" s="8" t="n">
        <v>306760.16</v>
      </c>
      <c r="D1980" s="27" t="n">
        <v>5.718</v>
      </c>
      <c r="E1980" s="10" t="n">
        <v>731</v>
      </c>
      <c r="F1980" s="12" t="n">
        <v>74</v>
      </c>
      <c r="G1980" s="12" t="n">
        <v>34.9</v>
      </c>
      <c r="H1980" s="10" t="n">
        <v>31</v>
      </c>
      <c r="I1980" s="10" t="n">
        <v>329</v>
      </c>
      <c r="J1980" s="7" t="inlineStr">
        <is>
          <t>NY</t>
        </is>
      </c>
      <c r="K1980" s="7" t="inlineStr">
        <is>
          <t>SFR</t>
        </is>
      </c>
      <c r="L1980" s="7" t="inlineStr">
        <is>
          <t>Coastal Mortgage Co</t>
        </is>
      </c>
      <c r="M1980" s="7" t="inlineStr">
        <is>
          <t>Pier Asset Mgmt</t>
        </is>
      </c>
    </row>
    <row r="1981">
      <c r="A1981" s="5" t="inlineStr">
        <is>
          <t>L101976</t>
        </is>
      </c>
      <c r="B1981" s="16" t="n">
        <v>125165.24</v>
      </c>
      <c r="C1981" s="16" t="n">
        <v>119929.42</v>
      </c>
      <c r="D1981" s="26" t="n">
        <v>6.283</v>
      </c>
      <c r="E1981" s="6" t="n">
        <v>732</v>
      </c>
      <c r="F1981" s="11" t="n">
        <v>69.3</v>
      </c>
      <c r="G1981" s="11" t="n">
        <v>49.8</v>
      </c>
      <c r="H1981" s="6" t="n">
        <v>40</v>
      </c>
      <c r="I1981" s="6" t="n">
        <v>320</v>
      </c>
      <c r="J1981" s="5" t="inlineStr">
        <is>
          <t>FL</t>
        </is>
      </c>
      <c r="K1981" s="5" t="inlineStr">
        <is>
          <t>Condo</t>
        </is>
      </c>
      <c r="L1981" s="5" t="inlineStr">
        <is>
          <t>Coastal Mortgage Co</t>
        </is>
      </c>
      <c r="M1981" s="5" t="inlineStr">
        <is>
          <t>Pier Asset Mgmt</t>
        </is>
      </c>
    </row>
    <row r="1982">
      <c r="A1982" s="7" t="inlineStr">
        <is>
          <t>L101977</t>
        </is>
      </c>
      <c r="B1982" s="8" t="n">
        <v>261985.81</v>
      </c>
      <c r="C1982" s="8" t="n">
        <v>260893.32</v>
      </c>
      <c r="D1982" s="27" t="n">
        <v>5.796</v>
      </c>
      <c r="E1982" s="10" t="n">
        <v>701</v>
      </c>
      <c r="F1982" s="12" t="n">
        <v>67.2</v>
      </c>
      <c r="G1982" s="12" t="n">
        <v>31.1</v>
      </c>
      <c r="H1982" s="10" t="n">
        <v>4</v>
      </c>
      <c r="I1982" s="10" t="n">
        <v>356</v>
      </c>
      <c r="J1982" s="7" t="inlineStr">
        <is>
          <t>OH</t>
        </is>
      </c>
      <c r="K1982" s="7" t="inlineStr">
        <is>
          <t>SFR</t>
        </is>
      </c>
      <c r="L1982" s="7" t="inlineStr">
        <is>
          <t>Meridian Home Loans</t>
        </is>
      </c>
      <c r="M1982" s="7" t="inlineStr">
        <is>
          <t>Summit Loan Servicing</t>
        </is>
      </c>
    </row>
    <row r="1983">
      <c r="A1983" s="5" t="inlineStr">
        <is>
          <t>L101978</t>
        </is>
      </c>
      <c r="B1983" s="16" t="n">
        <v>421375.23</v>
      </c>
      <c r="C1983" s="16" t="n">
        <v>405481.53</v>
      </c>
      <c r="D1983" s="26" t="n">
        <v>6.381</v>
      </c>
      <c r="E1983" s="6" t="n">
        <v>756</v>
      </c>
      <c r="F1983" s="11" t="n">
        <v>67.40000000000001</v>
      </c>
      <c r="G1983" s="11" t="n">
        <v>42.1</v>
      </c>
      <c r="H1983" s="6" t="n">
        <v>37</v>
      </c>
      <c r="I1983" s="6" t="n">
        <v>323</v>
      </c>
      <c r="J1983" s="5" t="inlineStr">
        <is>
          <t>FL</t>
        </is>
      </c>
      <c r="K1983" s="5" t="inlineStr">
        <is>
          <t>SFR</t>
        </is>
      </c>
      <c r="L1983" s="5" t="inlineStr">
        <is>
          <t>Coastal Mortgage Co</t>
        </is>
      </c>
      <c r="M1983" s="5" t="inlineStr">
        <is>
          <t>Northgate Servicing</t>
        </is>
      </c>
    </row>
    <row r="1984">
      <c r="A1984" s="7" t="inlineStr">
        <is>
          <t>L101979</t>
        </is>
      </c>
      <c r="B1984" s="8" t="n">
        <v>288091.66</v>
      </c>
      <c r="C1984" s="8" t="n">
        <v>280413.47</v>
      </c>
      <c r="D1984" s="27" t="n">
        <v>5.465</v>
      </c>
      <c r="E1984" s="10" t="n">
        <v>758</v>
      </c>
      <c r="F1984" s="12" t="n">
        <v>57.2</v>
      </c>
      <c r="G1984" s="12" t="n">
        <v>39.9</v>
      </c>
      <c r="H1984" s="10" t="n">
        <v>23</v>
      </c>
      <c r="I1984" s="10" t="n">
        <v>337</v>
      </c>
      <c r="J1984" s="7" t="inlineStr">
        <is>
          <t>WA</t>
        </is>
      </c>
      <c r="K1984" s="7" t="inlineStr">
        <is>
          <t>SFR</t>
        </is>
      </c>
      <c r="L1984" s="7" t="inlineStr">
        <is>
          <t>Coastal Mortgage Co</t>
        </is>
      </c>
      <c r="M1984" s="7" t="inlineStr">
        <is>
          <t>Pier Asset Mgmt</t>
        </is>
      </c>
    </row>
    <row r="1985">
      <c r="A1985" s="5" t="inlineStr">
        <is>
          <t>L101980</t>
        </is>
      </c>
      <c r="B1985" s="16" t="n">
        <v>257743.14</v>
      </c>
      <c r="C1985" s="16" t="n">
        <v>255645.13</v>
      </c>
      <c r="D1985" s="26" t="n">
        <v>5.247</v>
      </c>
      <c r="E1985" s="6" t="n">
        <v>733</v>
      </c>
      <c r="F1985" s="11" t="n">
        <v>65</v>
      </c>
      <c r="G1985" s="11" t="n">
        <v>27.5</v>
      </c>
      <c r="H1985" s="6" t="n">
        <v>7</v>
      </c>
      <c r="I1985" s="6" t="n">
        <v>353</v>
      </c>
      <c r="J1985" s="5" t="inlineStr">
        <is>
          <t>CA</t>
        </is>
      </c>
      <c r="K1985" s="5" t="inlineStr">
        <is>
          <t>Condo</t>
        </is>
      </c>
      <c r="L1985" s="5" t="inlineStr">
        <is>
          <t>Meridian Home Loans</t>
        </is>
      </c>
      <c r="M1985" s="5" t="inlineStr">
        <is>
          <t>Summit Loan Servicing</t>
        </is>
      </c>
    </row>
    <row r="1986">
      <c r="A1986" s="7" t="inlineStr">
        <is>
          <t>L101981</t>
        </is>
      </c>
      <c r="B1986" s="8" t="n">
        <v>199554.5</v>
      </c>
      <c r="C1986" s="8" t="n">
        <v>198804.7</v>
      </c>
      <c r="D1986" s="27" t="n">
        <v>7.5</v>
      </c>
      <c r="E1986" s="10" t="n">
        <v>701</v>
      </c>
      <c r="F1986" s="12" t="n">
        <v>92</v>
      </c>
      <c r="G1986" s="12" t="n">
        <v>37.7</v>
      </c>
      <c r="H1986" s="10" t="n">
        <v>5</v>
      </c>
      <c r="I1986" s="10" t="n">
        <v>355</v>
      </c>
      <c r="J1986" s="7" t="inlineStr">
        <is>
          <t>IL</t>
        </is>
      </c>
      <c r="K1986" s="7" t="inlineStr">
        <is>
          <t>Condo</t>
        </is>
      </c>
      <c r="L1986" s="7" t="inlineStr">
        <is>
          <t>Apex Funding</t>
        </is>
      </c>
      <c r="M1986" s="7" t="inlineStr">
        <is>
          <t>Northgate Servicing</t>
        </is>
      </c>
    </row>
    <row r="1987">
      <c r="A1987" s="5" t="inlineStr">
        <is>
          <t>L101982</t>
        </is>
      </c>
      <c r="B1987" s="16" t="n">
        <v>245454.41</v>
      </c>
      <c r="C1987" s="16" t="n">
        <v>241026.62</v>
      </c>
      <c r="D1987" s="26" t="n">
        <v>5.527</v>
      </c>
      <c r="E1987" s="6" t="n">
        <v>695</v>
      </c>
      <c r="F1987" s="11" t="n">
        <v>71.5</v>
      </c>
      <c r="G1987" s="11" t="n">
        <v>36.1</v>
      </c>
      <c r="H1987" s="6" t="n">
        <v>16</v>
      </c>
      <c r="I1987" s="6" t="n">
        <v>344</v>
      </c>
      <c r="J1987" s="5" t="inlineStr">
        <is>
          <t>NC</t>
        </is>
      </c>
      <c r="K1987" s="5" t="inlineStr">
        <is>
          <t>Condo</t>
        </is>
      </c>
      <c r="L1987" s="5" t="inlineStr">
        <is>
          <t>Highline Capital</t>
        </is>
      </c>
      <c r="M1987" s="5" t="inlineStr">
        <is>
          <t>Summit Loan Servicing</t>
        </is>
      </c>
    </row>
    <row r="1988">
      <c r="A1988" s="7" t="inlineStr">
        <is>
          <t>L101983</t>
        </is>
      </c>
      <c r="B1988" s="8" t="n">
        <v>222298.87</v>
      </c>
      <c r="C1988" s="8" t="n">
        <v>219766.66</v>
      </c>
      <c r="D1988" s="27" t="n">
        <v>6.4</v>
      </c>
      <c r="E1988" s="10" t="n">
        <v>640</v>
      </c>
      <c r="F1988" s="12" t="n">
        <v>82.5</v>
      </c>
      <c r="G1988" s="12" t="n">
        <v>29.2</v>
      </c>
      <c r="H1988" s="10" t="n">
        <v>12</v>
      </c>
      <c r="I1988" s="10" t="n">
        <v>348</v>
      </c>
      <c r="J1988" s="7" t="inlineStr">
        <is>
          <t>WA</t>
        </is>
      </c>
      <c r="K1988" s="7" t="inlineStr">
        <is>
          <t>SFR</t>
        </is>
      </c>
      <c r="L1988" s="7" t="inlineStr">
        <is>
          <t>Coastal Mortgage Co</t>
        </is>
      </c>
      <c r="M1988" s="7" t="inlineStr">
        <is>
          <t>Pier Asset Mgmt</t>
        </is>
      </c>
    </row>
    <row r="1989">
      <c r="A1989" s="5" t="inlineStr">
        <is>
          <t>L101984</t>
        </is>
      </c>
      <c r="B1989" s="16" t="n">
        <v>184408.41</v>
      </c>
      <c r="C1989" s="16" t="n">
        <v>183681.67</v>
      </c>
      <c r="D1989" s="26" t="n">
        <v>7.259</v>
      </c>
      <c r="E1989" s="6" t="n">
        <v>671</v>
      </c>
      <c r="F1989" s="11" t="n">
        <v>44.3</v>
      </c>
      <c r="G1989" s="11" t="n">
        <v>38.9</v>
      </c>
      <c r="H1989" s="6" t="n">
        <v>5</v>
      </c>
      <c r="I1989" s="6" t="n">
        <v>355</v>
      </c>
      <c r="J1989" s="5" t="inlineStr">
        <is>
          <t>AZ</t>
        </is>
      </c>
      <c r="K1989" s="5" t="inlineStr">
        <is>
          <t>SFR</t>
        </is>
      </c>
      <c r="L1989" s="5" t="inlineStr">
        <is>
          <t>Coastal Mortgage Co</t>
        </is>
      </c>
      <c r="M1989" s="5" t="inlineStr">
        <is>
          <t>Pier Asset Mgmt</t>
        </is>
      </c>
    </row>
    <row r="1990">
      <c r="A1990" s="7" t="inlineStr">
        <is>
          <t>L101985</t>
        </is>
      </c>
      <c r="B1990" s="8" t="n">
        <v>219376.24</v>
      </c>
      <c r="C1990" s="8" t="n">
        <v>216870.92</v>
      </c>
      <c r="D1990" s="27" t="n">
        <v>7.223</v>
      </c>
      <c r="E1990" s="10" t="n">
        <v>681</v>
      </c>
      <c r="F1990" s="12" t="n">
        <v>80.8</v>
      </c>
      <c r="G1990" s="12" t="n">
        <v>37.2</v>
      </c>
      <c r="H1990" s="10" t="n">
        <v>14</v>
      </c>
      <c r="I1990" s="10" t="n">
        <v>346</v>
      </c>
      <c r="J1990" s="7" t="inlineStr">
        <is>
          <t>CA</t>
        </is>
      </c>
      <c r="K1990" s="7" t="inlineStr">
        <is>
          <t>SFR</t>
        </is>
      </c>
      <c r="L1990" s="7" t="inlineStr">
        <is>
          <t>Coastal Mortgage Co</t>
        </is>
      </c>
      <c r="M1990" s="7" t="inlineStr">
        <is>
          <t>Summit Loan Servicing</t>
        </is>
      </c>
    </row>
    <row r="1991">
      <c r="A1991" s="5" t="inlineStr">
        <is>
          <t>L101986</t>
        </is>
      </c>
      <c r="B1991" s="16" t="n">
        <v>260259.22</v>
      </c>
      <c r="C1991" s="16" t="n">
        <v>250876.68</v>
      </c>
      <c r="D1991" s="26" t="n">
        <v>7.115</v>
      </c>
      <c r="E1991" s="6" t="n">
        <v>653</v>
      </c>
      <c r="F1991" s="11" t="n">
        <v>72.09999999999999</v>
      </c>
      <c r="G1991" s="11" t="n">
        <v>35.4</v>
      </c>
      <c r="H1991" s="6" t="n">
        <v>40</v>
      </c>
      <c r="I1991" s="6" t="n">
        <v>320</v>
      </c>
      <c r="J1991" s="5" t="inlineStr">
        <is>
          <t>AZ</t>
        </is>
      </c>
      <c r="K1991" s="5" t="inlineStr">
        <is>
          <t>SFR</t>
        </is>
      </c>
      <c r="L1991" s="5" t="inlineStr">
        <is>
          <t>Meridian Home Loans</t>
        </is>
      </c>
      <c r="M1991" s="5" t="inlineStr">
        <is>
          <t>Pier Asset Mgmt</t>
        </is>
      </c>
    </row>
    <row r="1992">
      <c r="A1992" s="7" t="inlineStr">
        <is>
          <t>L101987</t>
        </is>
      </c>
      <c r="B1992" s="8" t="n">
        <v>185623.19</v>
      </c>
      <c r="C1992" s="8" t="n">
        <v>179569.41</v>
      </c>
      <c r="D1992" s="27" t="n">
        <v>6.673</v>
      </c>
      <c r="E1992" s="10" t="n">
        <v>739</v>
      </c>
      <c r="F1992" s="12" t="n">
        <v>68.2</v>
      </c>
      <c r="G1992" s="12" t="n">
        <v>35.5</v>
      </c>
      <c r="H1992" s="10" t="n">
        <v>34</v>
      </c>
      <c r="I1992" s="10" t="n">
        <v>326</v>
      </c>
      <c r="J1992" s="7" t="inlineStr">
        <is>
          <t>NY</t>
        </is>
      </c>
      <c r="K1992" s="7" t="inlineStr">
        <is>
          <t>SFR</t>
        </is>
      </c>
      <c r="L1992" s="7" t="inlineStr">
        <is>
          <t>Apex Funding</t>
        </is>
      </c>
      <c r="M1992" s="7" t="inlineStr">
        <is>
          <t>Northgate Servicing</t>
        </is>
      </c>
    </row>
    <row r="1993">
      <c r="A1993" s="5" t="inlineStr">
        <is>
          <t>L101988</t>
        </is>
      </c>
      <c r="B1993" s="16" t="n">
        <v>183102.5</v>
      </c>
      <c r="C1993" s="16" t="n">
        <v>181577.05</v>
      </c>
      <c r="D1993" s="26" t="n">
        <v>7.052</v>
      </c>
      <c r="E1993" s="6" t="n">
        <v>781</v>
      </c>
      <c r="F1993" s="11" t="n">
        <v>76.2</v>
      </c>
      <c r="G1993" s="11" t="n">
        <v>35.3</v>
      </c>
      <c r="H1993" s="6" t="n">
        <v>10</v>
      </c>
      <c r="I1993" s="6" t="n">
        <v>350</v>
      </c>
      <c r="J1993" s="5" t="inlineStr">
        <is>
          <t>OH</t>
        </is>
      </c>
      <c r="K1993" s="5" t="inlineStr">
        <is>
          <t>SFR</t>
        </is>
      </c>
      <c r="L1993" s="5" t="inlineStr">
        <is>
          <t>Coastal Mortgage Co</t>
        </is>
      </c>
      <c r="M1993" s="5" t="inlineStr">
        <is>
          <t>Pier Asset Mgmt</t>
        </is>
      </c>
    </row>
    <row r="1994">
      <c r="A1994" s="7" t="inlineStr">
        <is>
          <t>L101989</t>
        </is>
      </c>
      <c r="B1994" s="8" t="n">
        <v>150830.93</v>
      </c>
      <c r="C1994" s="8" t="n">
        <v>146978.58</v>
      </c>
      <c r="D1994" s="27" t="n">
        <v>7.636</v>
      </c>
      <c r="E1994" s="10" t="n">
        <v>665</v>
      </c>
      <c r="F1994" s="12" t="n">
        <v>68.09999999999999</v>
      </c>
      <c r="G1994" s="12" t="n">
        <v>33.1</v>
      </c>
      <c r="H1994" s="10" t="n">
        <v>32</v>
      </c>
      <c r="I1994" s="10" t="n">
        <v>328</v>
      </c>
      <c r="J1994" s="7" t="inlineStr">
        <is>
          <t>AZ</t>
        </is>
      </c>
      <c r="K1994" s="7" t="inlineStr">
        <is>
          <t>2-4 Unit</t>
        </is>
      </c>
      <c r="L1994" s="7" t="inlineStr">
        <is>
          <t>Highline Capital</t>
        </is>
      </c>
      <c r="M1994" s="7" t="inlineStr">
        <is>
          <t>Summit Loan Servicing</t>
        </is>
      </c>
    </row>
    <row r="1995">
      <c r="A1995" s="5" t="inlineStr">
        <is>
          <t>L101990</t>
        </is>
      </c>
      <c r="B1995" s="16" t="n">
        <v>278383.17</v>
      </c>
      <c r="C1995" s="16" t="n">
        <v>272821.16</v>
      </c>
      <c r="D1995" s="26" t="n">
        <v>6.783</v>
      </c>
      <c r="E1995" s="6" t="n">
        <v>731</v>
      </c>
      <c r="F1995" s="11" t="n">
        <v>48.5</v>
      </c>
      <c r="G1995" s="11" t="n">
        <v>37.1</v>
      </c>
      <c r="H1995" s="6" t="n">
        <v>22</v>
      </c>
      <c r="I1995" s="6" t="n">
        <v>338</v>
      </c>
      <c r="J1995" s="5" t="inlineStr">
        <is>
          <t>TX</t>
        </is>
      </c>
      <c r="K1995" s="5" t="inlineStr">
        <is>
          <t>SFR</t>
        </is>
      </c>
      <c r="L1995" s="5" t="inlineStr">
        <is>
          <t>Coastal Mortgage Co</t>
        </is>
      </c>
      <c r="M1995" s="5" t="inlineStr">
        <is>
          <t>Summit Loan Servicing</t>
        </is>
      </c>
    </row>
    <row r="1996">
      <c r="A1996" s="7" t="inlineStr">
        <is>
          <t>L101991</t>
        </is>
      </c>
      <c r="B1996" s="8" t="n">
        <v>293861.29</v>
      </c>
      <c r="C1996" s="8" t="n">
        <v>279579.48</v>
      </c>
      <c r="D1996" s="27" t="n">
        <v>4.747</v>
      </c>
      <c r="E1996" s="10" t="n">
        <v>658</v>
      </c>
      <c r="F1996" s="12" t="n">
        <v>85.09999999999999</v>
      </c>
      <c r="G1996" s="12" t="n">
        <v>30.8</v>
      </c>
      <c r="H1996" s="10" t="n">
        <v>36</v>
      </c>
      <c r="I1996" s="10" t="n">
        <v>324</v>
      </c>
      <c r="J1996" s="7" t="inlineStr">
        <is>
          <t>NY</t>
        </is>
      </c>
      <c r="K1996" s="7" t="inlineStr">
        <is>
          <t>SFR</t>
        </is>
      </c>
      <c r="L1996" s="7" t="inlineStr">
        <is>
          <t>Highline Capital</t>
        </is>
      </c>
      <c r="M1996" s="7" t="inlineStr">
        <is>
          <t>Pier Asset Mgmt</t>
        </is>
      </c>
    </row>
    <row r="1997">
      <c r="A1997" s="5" t="inlineStr">
        <is>
          <t>L101992</t>
        </is>
      </c>
      <c r="B1997" s="16" t="n">
        <v>263308.38</v>
      </c>
      <c r="C1997" s="16" t="n">
        <v>260028.78</v>
      </c>
      <c r="D1997" s="26" t="n">
        <v>5.924</v>
      </c>
      <c r="E1997" s="6" t="n">
        <v>698</v>
      </c>
      <c r="F1997" s="11" t="n">
        <v>76.90000000000001</v>
      </c>
      <c r="G1997" s="11" t="n">
        <v>55</v>
      </c>
      <c r="H1997" s="6" t="n">
        <v>12</v>
      </c>
      <c r="I1997" s="6" t="n">
        <v>348</v>
      </c>
      <c r="J1997" s="5" t="inlineStr">
        <is>
          <t>OH</t>
        </is>
      </c>
      <c r="K1997" s="5" t="inlineStr">
        <is>
          <t>Multifamily</t>
        </is>
      </c>
      <c r="L1997" s="5" t="inlineStr">
        <is>
          <t>Coastal Mortgage Co</t>
        </is>
      </c>
      <c r="M1997" s="5" t="inlineStr">
        <is>
          <t>Pier Asset Mgmt</t>
        </is>
      </c>
    </row>
    <row r="1998">
      <c r="A1998" s="7" t="inlineStr">
        <is>
          <t>L101993</t>
        </is>
      </c>
      <c r="B1998" s="8" t="n">
        <v>340377.19</v>
      </c>
      <c r="C1998" s="8" t="n">
        <v>339539.74</v>
      </c>
      <c r="D1998" s="27" t="n">
        <v>7.027</v>
      </c>
      <c r="E1998" s="10" t="n">
        <v>677</v>
      </c>
      <c r="F1998" s="12" t="n">
        <v>70.2</v>
      </c>
      <c r="G1998" s="12" t="n">
        <v>24.7</v>
      </c>
      <c r="H1998" s="10" t="n">
        <v>3</v>
      </c>
      <c r="I1998" s="10" t="n">
        <v>357</v>
      </c>
      <c r="J1998" s="7" t="inlineStr">
        <is>
          <t>WA</t>
        </is>
      </c>
      <c r="K1998" s="7" t="inlineStr">
        <is>
          <t>2-4 Unit</t>
        </is>
      </c>
      <c r="L1998" s="7" t="inlineStr">
        <is>
          <t>Meridian Home Loans</t>
        </is>
      </c>
      <c r="M1998" s="7" t="inlineStr">
        <is>
          <t>Summit Loan Servicing</t>
        </is>
      </c>
    </row>
    <row r="1999">
      <c r="A1999" s="5" t="inlineStr">
        <is>
          <t>L101994</t>
        </is>
      </c>
      <c r="B1999" s="16" t="n">
        <v>250384.66</v>
      </c>
      <c r="C1999" s="16" t="n">
        <v>246392.82</v>
      </c>
      <c r="D1999" s="26" t="n">
        <v>5.836</v>
      </c>
      <c r="E1999" s="6" t="n">
        <v>748</v>
      </c>
      <c r="F1999" s="11" t="n">
        <v>62.4</v>
      </c>
      <c r="G1999" s="11" t="n">
        <v>31.3</v>
      </c>
      <c r="H1999" s="6" t="n">
        <v>15</v>
      </c>
      <c r="I1999" s="6" t="n">
        <v>345</v>
      </c>
      <c r="J1999" s="5" t="inlineStr">
        <is>
          <t>NC</t>
        </is>
      </c>
      <c r="K1999" s="5" t="inlineStr">
        <is>
          <t>SFR</t>
        </is>
      </c>
      <c r="L1999" s="5" t="inlineStr">
        <is>
          <t>Coastal Mortgage Co</t>
        </is>
      </c>
      <c r="M1999" s="5" t="inlineStr">
        <is>
          <t>Summit Loan Servicing</t>
        </is>
      </c>
    </row>
    <row r="2000">
      <c r="A2000" s="7" t="inlineStr">
        <is>
          <t>L101995</t>
        </is>
      </c>
      <c r="B2000" s="8" t="n">
        <v>278508.49</v>
      </c>
      <c r="C2000" s="8" t="n">
        <v>267963.7</v>
      </c>
      <c r="D2000" s="27" t="n">
        <v>7.858</v>
      </c>
      <c r="E2000" s="10" t="n">
        <v>678</v>
      </c>
      <c r="F2000" s="12" t="n">
        <v>56.4</v>
      </c>
      <c r="G2000" s="12" t="n">
        <v>32</v>
      </c>
      <c r="H2000" s="10" t="n">
        <v>47</v>
      </c>
      <c r="I2000" s="10" t="n">
        <v>313</v>
      </c>
      <c r="J2000" s="7" t="inlineStr">
        <is>
          <t>FL</t>
        </is>
      </c>
      <c r="K2000" s="7" t="inlineStr">
        <is>
          <t>2-4 Unit</t>
        </is>
      </c>
      <c r="L2000" s="7" t="inlineStr">
        <is>
          <t>Highline Capital</t>
        </is>
      </c>
      <c r="M2000" s="7" t="inlineStr">
        <is>
          <t>Northgate Servicing</t>
        </is>
      </c>
    </row>
    <row r="2001">
      <c r="A2001" s="5" t="inlineStr">
        <is>
          <t>L101996</t>
        </is>
      </c>
      <c r="B2001" s="16" t="n">
        <v>270044.79</v>
      </c>
      <c r="C2001" s="16" t="n">
        <v>262761.57</v>
      </c>
      <c r="D2001" s="26" t="n">
        <v>6.343</v>
      </c>
      <c r="E2001" s="6" t="n">
        <v>771</v>
      </c>
      <c r="F2001" s="11" t="n">
        <v>76.7</v>
      </c>
      <c r="G2001" s="11" t="n">
        <v>52.3</v>
      </c>
      <c r="H2001" s="6" t="n">
        <v>27</v>
      </c>
      <c r="I2001" s="6" t="n">
        <v>333</v>
      </c>
      <c r="J2001" s="5" t="inlineStr">
        <is>
          <t>NY</t>
        </is>
      </c>
      <c r="K2001" s="5" t="inlineStr">
        <is>
          <t>SFR</t>
        </is>
      </c>
      <c r="L2001" s="5" t="inlineStr">
        <is>
          <t>Coastal Mortgage Co</t>
        </is>
      </c>
      <c r="M2001" s="5" t="inlineStr">
        <is>
          <t>Summit Loan Servicing</t>
        </is>
      </c>
    </row>
    <row r="2002">
      <c r="A2002" s="7" t="inlineStr">
        <is>
          <t>L101997</t>
        </is>
      </c>
      <c r="B2002" s="8" t="n">
        <v>235145.79</v>
      </c>
      <c r="C2002" s="8" t="n">
        <v>234501.75</v>
      </c>
      <c r="D2002" s="27" t="n">
        <v>6.477</v>
      </c>
      <c r="E2002" s="10" t="n">
        <v>701</v>
      </c>
      <c r="F2002" s="12" t="n">
        <v>93.40000000000001</v>
      </c>
      <c r="G2002" s="12" t="n">
        <v>25.4</v>
      </c>
      <c r="H2002" s="10" t="n">
        <v>3</v>
      </c>
      <c r="I2002" s="10" t="n">
        <v>357</v>
      </c>
      <c r="J2002" s="7" t="inlineStr">
        <is>
          <t>AZ</t>
        </is>
      </c>
      <c r="K2002" s="7" t="inlineStr">
        <is>
          <t>2-4 Unit</t>
        </is>
      </c>
      <c r="L2002" s="7" t="inlineStr">
        <is>
          <t>Highline Capital</t>
        </is>
      </c>
      <c r="M2002" s="7" t="inlineStr">
        <is>
          <t>Pier Asset Mgmt</t>
        </is>
      </c>
    </row>
    <row r="2003">
      <c r="A2003" s="5" t="inlineStr">
        <is>
          <t>L101998</t>
        </is>
      </c>
      <c r="B2003" s="16" t="n">
        <v>201634.59</v>
      </c>
      <c r="C2003" s="16" t="n">
        <v>193560.86</v>
      </c>
      <c r="D2003" s="26" t="n">
        <v>7.412</v>
      </c>
      <c r="E2003" s="6" t="n">
        <v>679</v>
      </c>
      <c r="F2003" s="11" t="n">
        <v>76.40000000000001</v>
      </c>
      <c r="G2003" s="11" t="n">
        <v>39.4</v>
      </c>
      <c r="H2003" s="6" t="n">
        <v>46</v>
      </c>
      <c r="I2003" s="6" t="n">
        <v>314</v>
      </c>
      <c r="J2003" s="5" t="inlineStr">
        <is>
          <t>GA</t>
        </is>
      </c>
      <c r="K2003" s="5" t="inlineStr">
        <is>
          <t>SFR</t>
        </is>
      </c>
      <c r="L2003" s="5" t="inlineStr">
        <is>
          <t>Apex Funding</t>
        </is>
      </c>
      <c r="M2003" s="5" t="inlineStr">
        <is>
          <t>Pier Asset Mgmt</t>
        </is>
      </c>
    </row>
    <row r="2004">
      <c r="A2004" s="7" t="inlineStr">
        <is>
          <t>L101999</t>
        </is>
      </c>
      <c r="B2004" s="8" t="n">
        <v>526998.73</v>
      </c>
      <c r="C2004" s="8" t="n">
        <v>505380.32</v>
      </c>
      <c r="D2004" s="27" t="n">
        <v>6.235</v>
      </c>
      <c r="E2004" s="10" t="n">
        <v>646</v>
      </c>
      <c r="F2004" s="12" t="n">
        <v>57.4</v>
      </c>
      <c r="G2004" s="12" t="n">
        <v>38</v>
      </c>
      <c r="H2004" s="10" t="n">
        <v>39</v>
      </c>
      <c r="I2004" s="10" t="n">
        <v>321</v>
      </c>
      <c r="J2004" s="7" t="inlineStr">
        <is>
          <t>FL</t>
        </is>
      </c>
      <c r="K2004" s="7" t="inlineStr">
        <is>
          <t>SFR</t>
        </is>
      </c>
      <c r="L2004" s="7" t="inlineStr">
        <is>
          <t>Apex Funding</t>
        </is>
      </c>
      <c r="M2004" s="7" t="inlineStr">
        <is>
          <t>Pier Asset Mgmt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Collateral Stratification</t>
        </is>
      </c>
    </row>
    <row r="2">
      <c r="A2" s="20" t="inlineStr">
        <is>
          <t>Every figure below is a live formula over the Loan Tape (SUMIFS / SUMPRODUCT). Edit the tape and these update.</t>
        </is>
      </c>
    </row>
    <row r="4">
      <c r="A4" s="1" t="inlineStr">
        <is>
          <t>By FICO</t>
        </is>
      </c>
    </row>
    <row r="5">
      <c r="A5" s="4" t="inlineStr">
        <is>
          <t>Bucket</t>
        </is>
      </c>
      <c r="B5" s="4" t="inlineStr">
        <is>
          <t>Loan count</t>
        </is>
      </c>
      <c r="C5" s="4" t="inlineStr">
        <is>
          <t>UPB</t>
        </is>
      </c>
      <c r="D5" s="4" t="inlineStr">
        <is>
          <t>% of pool</t>
        </is>
      </c>
      <c r="E5" s="4" t="inlineStr">
        <is>
          <t>WA coupon</t>
        </is>
      </c>
      <c r="F5" s="4" t="inlineStr">
        <is>
          <t>WA LTV</t>
        </is>
      </c>
    </row>
    <row r="6">
      <c r="A6" s="5" t="inlineStr">
        <is>
          <t>&lt;620</t>
        </is>
      </c>
      <c r="B6" s="6">
        <f>COUNTIFS('Loan Tape'!$E$5:$E$2004,"&gt;=0",'Loan Tape'!$E$5:$E$2004,"&lt;620")</f>
        <v/>
      </c>
      <c r="C6" s="16">
        <f>SUMIFS('Loan Tape'!$C$5:$C$2004,'Loan Tape'!$E$5:$E$2004,"&gt;=0",'Loan Tape'!$E$5:$E$2004,"&lt;620")</f>
        <v/>
      </c>
      <c r="D6" s="13">
        <f>IFERROR(C6/$C$12,0)</f>
        <v/>
      </c>
      <c r="E6" s="26">
        <f>IFERROR(SUMPRODUCT(('Loan Tape'!$E$5:$E$2004&gt;=0)*('Loan Tape'!$E$5:$E$2004&lt;620)*'Loan Tape'!$C$5:$C$2004*'Loan Tape'!$D$5:$D$2004)/C6,0)</f>
        <v/>
      </c>
      <c r="F6" s="11">
        <f>IFERROR(SUMPRODUCT(('Loan Tape'!$E$5:$E$2004&gt;=0)*('Loan Tape'!$E$5:$E$2004&lt;620)*'Loan Tape'!$C$5:$C$2004*'Loan Tape'!$F$5:$F$2004)/C6,0)</f>
        <v/>
      </c>
    </row>
    <row r="7">
      <c r="A7" s="7" t="inlineStr">
        <is>
          <t>620-659</t>
        </is>
      </c>
      <c r="B7" s="10">
        <f>COUNTIFS('Loan Tape'!$E$5:$E$2004,"&gt;=620",'Loan Tape'!$E$5:$E$2004,"&lt;660")</f>
        <v/>
      </c>
      <c r="C7" s="8">
        <f>SUMIFS('Loan Tape'!$C$5:$C$2004,'Loan Tape'!$E$5:$E$2004,"&gt;=620",'Loan Tape'!$E$5:$E$2004,"&lt;660")</f>
        <v/>
      </c>
      <c r="D7" s="14">
        <f>IFERROR(C7/$C$12,0)</f>
        <v/>
      </c>
      <c r="E7" s="27">
        <f>IFERROR(SUMPRODUCT(('Loan Tape'!$E$5:$E$2004&gt;=620)*('Loan Tape'!$E$5:$E$2004&lt;660)*'Loan Tape'!$C$5:$C$2004*'Loan Tape'!$D$5:$D$2004)/C7,0)</f>
        <v/>
      </c>
      <c r="F7" s="12">
        <f>IFERROR(SUMPRODUCT(('Loan Tape'!$E$5:$E$2004&gt;=620)*('Loan Tape'!$E$5:$E$2004&lt;660)*'Loan Tape'!$C$5:$C$2004*'Loan Tape'!$F$5:$F$2004)/C7,0)</f>
        <v/>
      </c>
    </row>
    <row r="8">
      <c r="A8" s="5" t="inlineStr">
        <is>
          <t>660-699</t>
        </is>
      </c>
      <c r="B8" s="6">
        <f>COUNTIFS('Loan Tape'!$E$5:$E$2004,"&gt;=660",'Loan Tape'!$E$5:$E$2004,"&lt;700")</f>
        <v/>
      </c>
      <c r="C8" s="16">
        <f>SUMIFS('Loan Tape'!$C$5:$C$2004,'Loan Tape'!$E$5:$E$2004,"&gt;=660",'Loan Tape'!$E$5:$E$2004,"&lt;700")</f>
        <v/>
      </c>
      <c r="D8" s="13">
        <f>IFERROR(C8/$C$12,0)</f>
        <v/>
      </c>
      <c r="E8" s="26">
        <f>IFERROR(SUMPRODUCT(('Loan Tape'!$E$5:$E$2004&gt;=660)*('Loan Tape'!$E$5:$E$2004&lt;700)*'Loan Tape'!$C$5:$C$2004*'Loan Tape'!$D$5:$D$2004)/C8,0)</f>
        <v/>
      </c>
      <c r="F8" s="11">
        <f>IFERROR(SUMPRODUCT(('Loan Tape'!$E$5:$E$2004&gt;=660)*('Loan Tape'!$E$5:$E$2004&lt;700)*'Loan Tape'!$C$5:$C$2004*'Loan Tape'!$F$5:$F$2004)/C8,0)</f>
        <v/>
      </c>
    </row>
    <row r="9">
      <c r="A9" s="7" t="inlineStr">
        <is>
          <t>700-739</t>
        </is>
      </c>
      <c r="B9" s="10">
        <f>COUNTIFS('Loan Tape'!$E$5:$E$2004,"&gt;=700",'Loan Tape'!$E$5:$E$2004,"&lt;740")</f>
        <v/>
      </c>
      <c r="C9" s="8">
        <f>SUMIFS('Loan Tape'!$C$5:$C$2004,'Loan Tape'!$E$5:$E$2004,"&gt;=700",'Loan Tape'!$E$5:$E$2004,"&lt;740")</f>
        <v/>
      </c>
      <c r="D9" s="14">
        <f>IFERROR(C9/$C$12,0)</f>
        <v/>
      </c>
      <c r="E9" s="27">
        <f>IFERROR(SUMPRODUCT(('Loan Tape'!$E$5:$E$2004&gt;=700)*('Loan Tape'!$E$5:$E$2004&lt;740)*'Loan Tape'!$C$5:$C$2004*'Loan Tape'!$D$5:$D$2004)/C9,0)</f>
        <v/>
      </c>
      <c r="F9" s="12">
        <f>IFERROR(SUMPRODUCT(('Loan Tape'!$E$5:$E$2004&gt;=700)*('Loan Tape'!$E$5:$E$2004&lt;740)*'Loan Tape'!$C$5:$C$2004*'Loan Tape'!$F$5:$F$2004)/C9,0)</f>
        <v/>
      </c>
    </row>
    <row r="10">
      <c r="A10" s="5" t="inlineStr">
        <is>
          <t>740-779</t>
        </is>
      </c>
      <c r="B10" s="6">
        <f>COUNTIFS('Loan Tape'!$E$5:$E$2004,"&gt;=740",'Loan Tape'!$E$5:$E$2004,"&lt;780")</f>
        <v/>
      </c>
      <c r="C10" s="16">
        <f>SUMIFS('Loan Tape'!$C$5:$C$2004,'Loan Tape'!$E$5:$E$2004,"&gt;=740",'Loan Tape'!$E$5:$E$2004,"&lt;780")</f>
        <v/>
      </c>
      <c r="D10" s="13">
        <f>IFERROR(C10/$C$12,0)</f>
        <v/>
      </c>
      <c r="E10" s="26">
        <f>IFERROR(SUMPRODUCT(('Loan Tape'!$E$5:$E$2004&gt;=740)*('Loan Tape'!$E$5:$E$2004&lt;780)*'Loan Tape'!$C$5:$C$2004*'Loan Tape'!$D$5:$D$2004)/C10,0)</f>
        <v/>
      </c>
      <c r="F10" s="11">
        <f>IFERROR(SUMPRODUCT(('Loan Tape'!$E$5:$E$2004&gt;=740)*('Loan Tape'!$E$5:$E$2004&lt;780)*'Loan Tape'!$C$5:$C$2004*'Loan Tape'!$F$5:$F$2004)/C10,0)</f>
        <v/>
      </c>
    </row>
    <row r="11">
      <c r="A11" s="7" t="inlineStr">
        <is>
          <t>780+</t>
        </is>
      </c>
      <c r="B11" s="10">
        <f>COUNTIFS('Loan Tape'!$E$5:$E$2004,"&gt;=780",'Loan Tape'!$E$5:$E$2004,"&lt;10000")</f>
        <v/>
      </c>
      <c r="C11" s="8">
        <f>SUMIFS('Loan Tape'!$C$5:$C$2004,'Loan Tape'!$E$5:$E$2004,"&gt;=780",'Loan Tape'!$E$5:$E$2004,"&lt;10000")</f>
        <v/>
      </c>
      <c r="D11" s="14">
        <f>IFERROR(C11/$C$12,0)</f>
        <v/>
      </c>
      <c r="E11" s="27">
        <f>IFERROR(SUMPRODUCT(('Loan Tape'!$E$5:$E$2004&gt;=780)*('Loan Tape'!$E$5:$E$2004&lt;10000)*'Loan Tape'!$C$5:$C$2004*'Loan Tape'!$D$5:$D$2004)/C11,0)</f>
        <v/>
      </c>
      <c r="F11" s="12">
        <f>IFERROR(SUMPRODUCT(('Loan Tape'!$E$5:$E$2004&gt;=780)*('Loan Tape'!$E$5:$E$2004&lt;10000)*'Loan Tape'!$C$5:$C$2004*'Loan Tape'!$F$5:$F$2004)/C11,0)</f>
        <v/>
      </c>
    </row>
    <row r="12">
      <c r="A12" s="5" t="inlineStr">
        <is>
          <t>Total</t>
        </is>
      </c>
      <c r="B12" s="6">
        <f>SUM(B6:B11)</f>
        <v/>
      </c>
      <c r="C12" s="16">
        <f>SUM(C6:C11)</f>
        <v/>
      </c>
      <c r="D12" s="13">
        <f>SUM(D6:D11)</f>
        <v/>
      </c>
      <c r="E12" s="5" t="n"/>
      <c r="F12" s="5" t="n"/>
    </row>
    <row r="15">
      <c r="A15" s="1" t="inlineStr">
        <is>
          <t>By LTV</t>
        </is>
      </c>
    </row>
    <row r="16">
      <c r="A16" s="4" t="inlineStr">
        <is>
          <t>Bucket</t>
        </is>
      </c>
      <c r="B16" s="4" t="inlineStr">
        <is>
          <t>Loan count</t>
        </is>
      </c>
      <c r="C16" s="4" t="inlineStr">
        <is>
          <t>UPB</t>
        </is>
      </c>
      <c r="D16" s="4" t="inlineStr">
        <is>
          <t>% of pool</t>
        </is>
      </c>
      <c r="E16" s="4" t="inlineStr">
        <is>
          <t>WA coupon</t>
        </is>
      </c>
      <c r="F16" s="4" t="inlineStr">
        <is>
          <t>WA FICO</t>
        </is>
      </c>
    </row>
    <row r="17">
      <c r="A17" s="5" t="inlineStr">
        <is>
          <t>&lt;60</t>
        </is>
      </c>
      <c r="B17" s="6">
        <f>COUNTIFS('Loan Tape'!$F$5:$F$2004,"&gt;=0",'Loan Tape'!$F$5:$F$2004,"&lt;60")</f>
        <v/>
      </c>
      <c r="C17" s="16">
        <f>SUMIFS('Loan Tape'!$C$5:$C$2004,'Loan Tape'!$F$5:$F$2004,"&gt;=0",'Loan Tape'!$F$5:$F$2004,"&lt;60")</f>
        <v/>
      </c>
      <c r="D17" s="13">
        <f>IFERROR(C17/$C$23,0)</f>
        <v/>
      </c>
      <c r="E17" s="26">
        <f>IFERROR(SUMPRODUCT(('Loan Tape'!$F$5:$F$2004&gt;=0)*('Loan Tape'!$F$5:$F$2004&lt;60)*'Loan Tape'!$C$5:$C$2004*'Loan Tape'!$D$5:$D$2004)/C17,0)</f>
        <v/>
      </c>
      <c r="F17" s="6">
        <f>IFERROR(SUMPRODUCT(('Loan Tape'!$F$5:$F$2004&gt;=0)*('Loan Tape'!$F$5:$F$2004&lt;60)*'Loan Tape'!$C$5:$C$2004*'Loan Tape'!$E$5:$E$2004)/C17,0)</f>
        <v/>
      </c>
    </row>
    <row r="18">
      <c r="A18" s="7" t="inlineStr">
        <is>
          <t>60-69</t>
        </is>
      </c>
      <c r="B18" s="10">
        <f>COUNTIFS('Loan Tape'!$F$5:$F$2004,"&gt;=60",'Loan Tape'!$F$5:$F$2004,"&lt;70")</f>
        <v/>
      </c>
      <c r="C18" s="8">
        <f>SUMIFS('Loan Tape'!$C$5:$C$2004,'Loan Tape'!$F$5:$F$2004,"&gt;=60",'Loan Tape'!$F$5:$F$2004,"&lt;70")</f>
        <v/>
      </c>
      <c r="D18" s="14">
        <f>IFERROR(C18/$C$23,0)</f>
        <v/>
      </c>
      <c r="E18" s="27">
        <f>IFERROR(SUMPRODUCT(('Loan Tape'!$F$5:$F$2004&gt;=60)*('Loan Tape'!$F$5:$F$2004&lt;70)*'Loan Tape'!$C$5:$C$2004*'Loan Tape'!$D$5:$D$2004)/C18,0)</f>
        <v/>
      </c>
      <c r="F18" s="10">
        <f>IFERROR(SUMPRODUCT(('Loan Tape'!$F$5:$F$2004&gt;=60)*('Loan Tape'!$F$5:$F$2004&lt;70)*'Loan Tape'!$C$5:$C$2004*'Loan Tape'!$E$5:$E$2004)/C18,0)</f>
        <v/>
      </c>
    </row>
    <row r="19">
      <c r="A19" s="5" t="inlineStr">
        <is>
          <t>70-79</t>
        </is>
      </c>
      <c r="B19" s="6">
        <f>COUNTIFS('Loan Tape'!$F$5:$F$2004,"&gt;=70",'Loan Tape'!$F$5:$F$2004,"&lt;80")</f>
        <v/>
      </c>
      <c r="C19" s="16">
        <f>SUMIFS('Loan Tape'!$C$5:$C$2004,'Loan Tape'!$F$5:$F$2004,"&gt;=70",'Loan Tape'!$F$5:$F$2004,"&lt;80")</f>
        <v/>
      </c>
      <c r="D19" s="13">
        <f>IFERROR(C19/$C$23,0)</f>
        <v/>
      </c>
      <c r="E19" s="26">
        <f>IFERROR(SUMPRODUCT(('Loan Tape'!$F$5:$F$2004&gt;=70)*('Loan Tape'!$F$5:$F$2004&lt;80)*'Loan Tape'!$C$5:$C$2004*'Loan Tape'!$D$5:$D$2004)/C19,0)</f>
        <v/>
      </c>
      <c r="F19" s="6">
        <f>IFERROR(SUMPRODUCT(('Loan Tape'!$F$5:$F$2004&gt;=70)*('Loan Tape'!$F$5:$F$2004&lt;80)*'Loan Tape'!$C$5:$C$2004*'Loan Tape'!$E$5:$E$2004)/C19,0)</f>
        <v/>
      </c>
    </row>
    <row r="20">
      <c r="A20" s="7" t="inlineStr">
        <is>
          <t>80-89</t>
        </is>
      </c>
      <c r="B20" s="10">
        <f>COUNTIFS('Loan Tape'!$F$5:$F$2004,"&gt;=80",'Loan Tape'!$F$5:$F$2004,"&lt;90")</f>
        <v/>
      </c>
      <c r="C20" s="8">
        <f>SUMIFS('Loan Tape'!$C$5:$C$2004,'Loan Tape'!$F$5:$F$2004,"&gt;=80",'Loan Tape'!$F$5:$F$2004,"&lt;90")</f>
        <v/>
      </c>
      <c r="D20" s="14">
        <f>IFERROR(C20/$C$23,0)</f>
        <v/>
      </c>
      <c r="E20" s="27">
        <f>IFERROR(SUMPRODUCT(('Loan Tape'!$F$5:$F$2004&gt;=80)*('Loan Tape'!$F$5:$F$2004&lt;90)*'Loan Tape'!$C$5:$C$2004*'Loan Tape'!$D$5:$D$2004)/C20,0)</f>
        <v/>
      </c>
      <c r="F20" s="10">
        <f>IFERROR(SUMPRODUCT(('Loan Tape'!$F$5:$F$2004&gt;=80)*('Loan Tape'!$F$5:$F$2004&lt;90)*'Loan Tape'!$C$5:$C$2004*'Loan Tape'!$E$5:$E$2004)/C20,0)</f>
        <v/>
      </c>
    </row>
    <row r="21">
      <c r="A21" s="5" t="inlineStr">
        <is>
          <t>90-99</t>
        </is>
      </c>
      <c r="B21" s="6">
        <f>COUNTIFS('Loan Tape'!$F$5:$F$2004,"&gt;=90",'Loan Tape'!$F$5:$F$2004,"&lt;100")</f>
        <v/>
      </c>
      <c r="C21" s="16">
        <f>SUMIFS('Loan Tape'!$C$5:$C$2004,'Loan Tape'!$F$5:$F$2004,"&gt;=90",'Loan Tape'!$F$5:$F$2004,"&lt;100")</f>
        <v/>
      </c>
      <c r="D21" s="13">
        <f>IFERROR(C21/$C$23,0)</f>
        <v/>
      </c>
      <c r="E21" s="26">
        <f>IFERROR(SUMPRODUCT(('Loan Tape'!$F$5:$F$2004&gt;=90)*('Loan Tape'!$F$5:$F$2004&lt;100)*'Loan Tape'!$C$5:$C$2004*'Loan Tape'!$D$5:$D$2004)/C21,0)</f>
        <v/>
      </c>
      <c r="F21" s="6">
        <f>IFERROR(SUMPRODUCT(('Loan Tape'!$F$5:$F$2004&gt;=90)*('Loan Tape'!$F$5:$F$2004&lt;100)*'Loan Tape'!$C$5:$C$2004*'Loan Tape'!$E$5:$E$2004)/C21,0)</f>
        <v/>
      </c>
    </row>
    <row r="22">
      <c r="A22" s="7" t="inlineStr">
        <is>
          <t>100+</t>
        </is>
      </c>
      <c r="B22" s="10">
        <f>COUNTIFS('Loan Tape'!$F$5:$F$2004,"&gt;=100",'Loan Tape'!$F$5:$F$2004,"&lt;1000")</f>
        <v/>
      </c>
      <c r="C22" s="8">
        <f>SUMIFS('Loan Tape'!$C$5:$C$2004,'Loan Tape'!$F$5:$F$2004,"&gt;=100",'Loan Tape'!$F$5:$F$2004,"&lt;1000")</f>
        <v/>
      </c>
      <c r="D22" s="14">
        <f>IFERROR(C22/$C$23,0)</f>
        <v/>
      </c>
      <c r="E22" s="27">
        <f>IFERROR(SUMPRODUCT(('Loan Tape'!$F$5:$F$2004&gt;=100)*('Loan Tape'!$F$5:$F$2004&lt;1000)*'Loan Tape'!$C$5:$C$2004*'Loan Tape'!$D$5:$D$2004)/C22,0)</f>
        <v/>
      </c>
      <c r="F22" s="10">
        <f>IFERROR(SUMPRODUCT(('Loan Tape'!$F$5:$F$2004&gt;=100)*('Loan Tape'!$F$5:$F$2004&lt;1000)*'Loan Tape'!$C$5:$C$2004*'Loan Tape'!$E$5:$E$2004)/C22,0)</f>
        <v/>
      </c>
    </row>
    <row r="23">
      <c r="A23" s="5" t="inlineStr">
        <is>
          <t>Total</t>
        </is>
      </c>
      <c r="B23" s="6">
        <f>SUM(B17:B22)</f>
        <v/>
      </c>
      <c r="C23" s="16">
        <f>SUM(C17:C22)</f>
        <v/>
      </c>
      <c r="D23" s="13">
        <f>SUM(D17:D22)</f>
        <v/>
      </c>
      <c r="E23" s="5" t="n"/>
      <c r="F23" s="5" t="n"/>
    </row>
    <row r="26">
      <c r="A26" s="1" t="inlineStr">
        <is>
          <t>By state</t>
        </is>
      </c>
    </row>
    <row r="27">
      <c r="A27" s="4" t="inlineStr">
        <is>
          <t>State</t>
        </is>
      </c>
      <c r="B27" s="4" t="inlineStr">
        <is>
          <t>Loan count</t>
        </is>
      </c>
      <c r="C27" s="4" t="inlineStr">
        <is>
          <t>UPB</t>
        </is>
      </c>
      <c r="D27" s="4" t="inlineStr">
        <is>
          <t>% of pool</t>
        </is>
      </c>
      <c r="E27" s="4" t="inlineStr">
        <is>
          <t>WA FICO</t>
        </is>
      </c>
    </row>
    <row r="28">
      <c r="A28" s="5" t="inlineStr">
        <is>
          <t>AZ</t>
        </is>
      </c>
      <c r="B28" s="6">
        <f>COUNTIFS('Loan Tape'!$J$5:$J$2004,A28)</f>
        <v/>
      </c>
      <c r="C28" s="16">
        <f>SUMIFS('Loan Tape'!$C$5:$C$2004,'Loan Tape'!$J$5:$J$2004,A28)</f>
        <v/>
      </c>
      <c r="D28" s="13">
        <f>IFERROR(C28/$C$38,0)</f>
        <v/>
      </c>
      <c r="E28" s="6">
        <f>IFERROR(SUMPRODUCT(('Loan Tape'!$J$5:$J$2004=A28)*'Loan Tape'!$C$5:$C$2004*'Loan Tape'!$E$5:$E$2004)/C28,0)</f>
        <v/>
      </c>
    </row>
    <row r="29">
      <c r="A29" s="7" t="inlineStr">
        <is>
          <t>CA</t>
        </is>
      </c>
      <c r="B29" s="10">
        <f>COUNTIFS('Loan Tape'!$J$5:$J$2004,A29)</f>
        <v/>
      </c>
      <c r="C29" s="8">
        <f>SUMIFS('Loan Tape'!$C$5:$C$2004,'Loan Tape'!$J$5:$J$2004,A29)</f>
        <v/>
      </c>
      <c r="D29" s="14">
        <f>IFERROR(C29/$C$38,0)</f>
        <v/>
      </c>
      <c r="E29" s="10">
        <f>IFERROR(SUMPRODUCT(('Loan Tape'!$J$5:$J$2004=A29)*'Loan Tape'!$C$5:$C$2004*'Loan Tape'!$E$5:$E$2004)/C29,0)</f>
        <v/>
      </c>
    </row>
    <row r="30">
      <c r="A30" s="5" t="inlineStr">
        <is>
          <t>FL</t>
        </is>
      </c>
      <c r="B30" s="6">
        <f>COUNTIFS('Loan Tape'!$J$5:$J$2004,A30)</f>
        <v/>
      </c>
      <c r="C30" s="16">
        <f>SUMIFS('Loan Tape'!$C$5:$C$2004,'Loan Tape'!$J$5:$J$2004,A30)</f>
        <v/>
      </c>
      <c r="D30" s="13">
        <f>IFERROR(C30/$C$38,0)</f>
        <v/>
      </c>
      <c r="E30" s="6">
        <f>IFERROR(SUMPRODUCT(('Loan Tape'!$J$5:$J$2004=A30)*'Loan Tape'!$C$5:$C$2004*'Loan Tape'!$E$5:$E$2004)/C30,0)</f>
        <v/>
      </c>
    </row>
    <row r="31">
      <c r="A31" s="7" t="inlineStr">
        <is>
          <t>GA</t>
        </is>
      </c>
      <c r="B31" s="10">
        <f>COUNTIFS('Loan Tape'!$J$5:$J$2004,A31)</f>
        <v/>
      </c>
      <c r="C31" s="8">
        <f>SUMIFS('Loan Tape'!$C$5:$C$2004,'Loan Tape'!$J$5:$J$2004,A31)</f>
        <v/>
      </c>
      <c r="D31" s="14">
        <f>IFERROR(C31/$C$38,0)</f>
        <v/>
      </c>
      <c r="E31" s="10">
        <f>IFERROR(SUMPRODUCT(('Loan Tape'!$J$5:$J$2004=A31)*'Loan Tape'!$C$5:$C$2004*'Loan Tape'!$E$5:$E$2004)/C31,0)</f>
        <v/>
      </c>
    </row>
    <row r="32">
      <c r="A32" s="5" t="inlineStr">
        <is>
          <t>IL</t>
        </is>
      </c>
      <c r="B32" s="6">
        <f>COUNTIFS('Loan Tape'!$J$5:$J$2004,A32)</f>
        <v/>
      </c>
      <c r="C32" s="16">
        <f>SUMIFS('Loan Tape'!$C$5:$C$2004,'Loan Tape'!$J$5:$J$2004,A32)</f>
        <v/>
      </c>
      <c r="D32" s="13">
        <f>IFERROR(C32/$C$38,0)</f>
        <v/>
      </c>
      <c r="E32" s="6">
        <f>IFERROR(SUMPRODUCT(('Loan Tape'!$J$5:$J$2004=A32)*'Loan Tape'!$C$5:$C$2004*'Loan Tape'!$E$5:$E$2004)/C32,0)</f>
        <v/>
      </c>
    </row>
    <row r="33">
      <c r="A33" s="7" t="inlineStr">
        <is>
          <t>NC</t>
        </is>
      </c>
      <c r="B33" s="10">
        <f>COUNTIFS('Loan Tape'!$J$5:$J$2004,A33)</f>
        <v/>
      </c>
      <c r="C33" s="8">
        <f>SUMIFS('Loan Tape'!$C$5:$C$2004,'Loan Tape'!$J$5:$J$2004,A33)</f>
        <v/>
      </c>
      <c r="D33" s="14">
        <f>IFERROR(C33/$C$38,0)</f>
        <v/>
      </c>
      <c r="E33" s="10">
        <f>IFERROR(SUMPRODUCT(('Loan Tape'!$J$5:$J$2004=A33)*'Loan Tape'!$C$5:$C$2004*'Loan Tape'!$E$5:$E$2004)/C33,0)</f>
        <v/>
      </c>
    </row>
    <row r="34">
      <c r="A34" s="5" t="inlineStr">
        <is>
          <t>NY</t>
        </is>
      </c>
      <c r="B34" s="6">
        <f>COUNTIFS('Loan Tape'!$J$5:$J$2004,A34)</f>
        <v/>
      </c>
      <c r="C34" s="16">
        <f>SUMIFS('Loan Tape'!$C$5:$C$2004,'Loan Tape'!$J$5:$J$2004,A34)</f>
        <v/>
      </c>
      <c r="D34" s="13">
        <f>IFERROR(C34/$C$38,0)</f>
        <v/>
      </c>
      <c r="E34" s="6">
        <f>IFERROR(SUMPRODUCT(('Loan Tape'!$J$5:$J$2004=A34)*'Loan Tape'!$C$5:$C$2004*'Loan Tape'!$E$5:$E$2004)/C34,0)</f>
        <v/>
      </c>
    </row>
    <row r="35">
      <c r="A35" s="7" t="inlineStr">
        <is>
          <t>OH</t>
        </is>
      </c>
      <c r="B35" s="10">
        <f>COUNTIFS('Loan Tape'!$J$5:$J$2004,A35)</f>
        <v/>
      </c>
      <c r="C35" s="8">
        <f>SUMIFS('Loan Tape'!$C$5:$C$2004,'Loan Tape'!$J$5:$J$2004,A35)</f>
        <v/>
      </c>
      <c r="D35" s="14">
        <f>IFERROR(C35/$C$38,0)</f>
        <v/>
      </c>
      <c r="E35" s="10">
        <f>IFERROR(SUMPRODUCT(('Loan Tape'!$J$5:$J$2004=A35)*'Loan Tape'!$C$5:$C$2004*'Loan Tape'!$E$5:$E$2004)/C35,0)</f>
        <v/>
      </c>
    </row>
    <row r="36">
      <c r="A36" s="5" t="inlineStr">
        <is>
          <t>TX</t>
        </is>
      </c>
      <c r="B36" s="6">
        <f>COUNTIFS('Loan Tape'!$J$5:$J$2004,A36)</f>
        <v/>
      </c>
      <c r="C36" s="16">
        <f>SUMIFS('Loan Tape'!$C$5:$C$2004,'Loan Tape'!$J$5:$J$2004,A36)</f>
        <v/>
      </c>
      <c r="D36" s="13">
        <f>IFERROR(C36/$C$38,0)</f>
        <v/>
      </c>
      <c r="E36" s="6">
        <f>IFERROR(SUMPRODUCT(('Loan Tape'!$J$5:$J$2004=A36)*'Loan Tape'!$C$5:$C$2004*'Loan Tape'!$E$5:$E$2004)/C36,0)</f>
        <v/>
      </c>
    </row>
    <row r="37">
      <c r="A37" s="7" t="inlineStr">
        <is>
          <t>WA</t>
        </is>
      </c>
      <c r="B37" s="10">
        <f>COUNTIFS('Loan Tape'!$J$5:$J$2004,A37)</f>
        <v/>
      </c>
      <c r="C37" s="8">
        <f>SUMIFS('Loan Tape'!$C$5:$C$2004,'Loan Tape'!$J$5:$J$2004,A37)</f>
        <v/>
      </c>
      <c r="D37" s="14">
        <f>IFERROR(C37/$C$38,0)</f>
        <v/>
      </c>
      <c r="E37" s="10">
        <f>IFERROR(SUMPRODUCT(('Loan Tape'!$J$5:$J$2004=A37)*'Loan Tape'!$C$5:$C$2004*'Loan Tape'!$E$5:$E$2004)/C37,0)</f>
        <v/>
      </c>
    </row>
    <row r="38">
      <c r="A38" s="5" t="inlineStr">
        <is>
          <t>Total</t>
        </is>
      </c>
      <c r="B38" s="6">
        <f>SUM(B28:B37)</f>
        <v/>
      </c>
      <c r="C38" s="16">
        <f>SUM(C28:C37)</f>
        <v/>
      </c>
      <c r="D38" s="13">
        <f>SUM(D28:D37)</f>
        <v/>
      </c>
      <c r="E38" s="5" t="n"/>
    </row>
  </sheetData>
  <conditionalFormatting sqref="D28:D37">
    <cfRule type="colorScale" priority="1">
      <colorScale>
        <cfvo type="min"/>
        <cfvo type="max"/>
        <color rgb="00FFFFFF"/>
        <color rgb="00F8CBAD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8" customWidth="1" min="4" max="4"/>
    <col width="14" customWidth="1" min="5" max="5"/>
    <col width="18" customWidth="1" min="6" max="6"/>
  </cols>
  <sheetData>
    <row r="1">
      <c r="A1" s="1" t="inlineStr">
        <is>
          <t>Projected Pool Cashflows — Base Case</t>
        </is>
      </c>
    </row>
    <row r="2">
      <c r="A2" s="20" t="inlineStr">
        <is>
          <t>Model-projected. CPR/CDR from the Transformer forecaster, default losses at the severity on Assumptions.</t>
        </is>
      </c>
    </row>
    <row r="4">
      <c r="A4" s="4" t="inlineStr">
        <is>
          <t>period</t>
        </is>
      </c>
      <c r="B4" s="4" t="inlineStr">
        <is>
          <t>scheduled_principal</t>
        </is>
      </c>
      <c r="C4" s="4" t="inlineStr">
        <is>
          <t>prepayment</t>
        </is>
      </c>
      <c r="D4" s="4" t="inlineStr">
        <is>
          <t>interest_collected</t>
        </is>
      </c>
      <c r="E4" s="4" t="inlineStr">
        <is>
          <t>loss</t>
        </is>
      </c>
      <c r="F4" s="4" t="inlineStr">
        <is>
          <t>ending_balance</t>
        </is>
      </c>
    </row>
    <row r="5">
      <c r="A5" s="6" t="n">
        <v>1</v>
      </c>
      <c r="B5" s="16" t="n">
        <v>452104.05</v>
      </c>
      <c r="C5" s="16" t="n">
        <v>4531585.08</v>
      </c>
      <c r="D5" s="16" t="n">
        <v>2600460.97</v>
      </c>
      <c r="E5" s="16" t="n">
        <v>203317.12</v>
      </c>
      <c r="F5" s="16" t="n">
        <v>483698025.7</v>
      </c>
    </row>
    <row r="6">
      <c r="A6" s="10" t="n">
        <v>2</v>
      </c>
      <c r="B6" s="8" t="n">
        <v>450102.83</v>
      </c>
      <c r="C6" s="8" t="n">
        <v>4488881.99</v>
      </c>
      <c r="D6" s="8" t="n">
        <v>2572870.42</v>
      </c>
      <c r="E6" s="8" t="n">
        <v>201555.93</v>
      </c>
      <c r="F6" s="8" t="n">
        <v>478557484.95</v>
      </c>
    </row>
    <row r="7">
      <c r="A7" s="6" t="n">
        <v>3</v>
      </c>
      <c r="B7" s="16" t="n">
        <v>448105.03</v>
      </c>
      <c r="C7" s="16" t="n">
        <v>4447256</v>
      </c>
      <c r="D7" s="16" t="n">
        <v>2545527.02</v>
      </c>
      <c r="E7" s="16" t="n">
        <v>199896.49</v>
      </c>
      <c r="F7" s="16" t="n">
        <v>473462227.43</v>
      </c>
    </row>
    <row r="8">
      <c r="A8" s="10" t="n">
        <v>4</v>
      </c>
      <c r="B8" s="8" t="n">
        <v>446109.89</v>
      </c>
      <c r="C8" s="8" t="n">
        <v>4407754.79</v>
      </c>
      <c r="D8" s="8" t="n">
        <v>2518424.5</v>
      </c>
      <c r="E8" s="8" t="n">
        <v>198272.67</v>
      </c>
      <c r="F8" s="8" t="n">
        <v>468410090.07</v>
      </c>
    </row>
    <row r="9">
      <c r="A9" s="6" t="n">
        <v>5</v>
      </c>
      <c r="B9" s="16" t="n">
        <v>444115.69</v>
      </c>
      <c r="C9" s="16" t="n">
        <v>4371054.35</v>
      </c>
      <c r="D9" s="16" t="n">
        <v>2491551.34</v>
      </c>
      <c r="E9" s="16" t="n">
        <v>196671.4</v>
      </c>
      <c r="F9" s="16" t="n">
        <v>463398248.63</v>
      </c>
    </row>
    <row r="10">
      <c r="A10" s="10" t="n">
        <v>6</v>
      </c>
      <c r="B10" s="8" t="n">
        <v>442120.03</v>
      </c>
      <c r="C10" s="8" t="n">
        <v>4337189.1</v>
      </c>
      <c r="D10" s="8" t="n">
        <v>2464892.52</v>
      </c>
      <c r="E10" s="8" t="n">
        <v>195056.12</v>
      </c>
      <c r="F10" s="8" t="n">
        <v>458423883.38</v>
      </c>
    </row>
    <row r="11">
      <c r="A11" s="6" t="n">
        <v>7</v>
      </c>
      <c r="B11" s="16" t="n">
        <v>440120.46</v>
      </c>
      <c r="C11" s="16" t="n">
        <v>4302090.42</v>
      </c>
      <c r="D11" s="16" t="n">
        <v>2438433.04</v>
      </c>
      <c r="E11" s="16" t="n">
        <v>193183.24</v>
      </c>
      <c r="F11" s="16" t="n">
        <v>453488489.26</v>
      </c>
    </row>
    <row r="12">
      <c r="A12" s="10" t="n">
        <v>8</v>
      </c>
      <c r="B12" s="8" t="n">
        <v>438118.61</v>
      </c>
      <c r="C12" s="8" t="n">
        <v>4255750.5</v>
      </c>
      <c r="D12" s="8" t="n">
        <v>2412180.86</v>
      </c>
      <c r="E12" s="8" t="n">
        <v>191103.43</v>
      </c>
      <c r="F12" s="8" t="n">
        <v>448603516.71</v>
      </c>
    </row>
    <row r="13">
      <c r="A13" s="6" t="n">
        <v>9</v>
      </c>
      <c r="B13" s="16" t="n">
        <v>436125.87</v>
      </c>
      <c r="C13" s="16" t="n">
        <v>4209884.1</v>
      </c>
      <c r="D13" s="16" t="n">
        <v>2386196.87</v>
      </c>
      <c r="E13" s="16" t="n">
        <v>189044.87</v>
      </c>
      <c r="F13" s="16" t="n">
        <v>443768461.87</v>
      </c>
    </row>
    <row r="14">
      <c r="A14" s="10" t="n">
        <v>10</v>
      </c>
      <c r="B14" s="8" t="n">
        <v>434142.19</v>
      </c>
      <c r="C14" s="8" t="n">
        <v>4164486.49</v>
      </c>
      <c r="D14" s="8" t="n">
        <v>2360478.41</v>
      </c>
      <c r="E14" s="8" t="n">
        <v>187007.34</v>
      </c>
      <c r="F14" s="8" t="n">
        <v>438982825.85</v>
      </c>
    </row>
    <row r="15">
      <c r="A15" s="6" t="n">
        <v>11</v>
      </c>
      <c r="B15" s="16" t="n">
        <v>432167.53</v>
      </c>
      <c r="C15" s="16" t="n">
        <v>4119552.99</v>
      </c>
      <c r="D15" s="16" t="n">
        <v>2335022.81</v>
      </c>
      <c r="E15" s="16" t="n">
        <v>184990.64</v>
      </c>
      <c r="F15" s="16" t="n">
        <v>434246114.7</v>
      </c>
    </row>
    <row r="16">
      <c r="A16" s="10" t="n">
        <v>12</v>
      </c>
      <c r="B16" s="8" t="n">
        <v>430201.85</v>
      </c>
      <c r="C16" s="8" t="n">
        <v>4075078.94</v>
      </c>
      <c r="D16" s="8" t="n">
        <v>2309827.46</v>
      </c>
      <c r="E16" s="8" t="n">
        <v>182994.55</v>
      </c>
      <c r="F16" s="8" t="n">
        <v>429557839.36</v>
      </c>
    </row>
    <row r="17">
      <c r="A17" s="6" t="n">
        <v>13</v>
      </c>
      <c r="B17" s="16" t="n">
        <v>428245.1</v>
      </c>
      <c r="C17" s="16" t="n">
        <v>4031059.77</v>
      </c>
      <c r="D17" s="16" t="n">
        <v>2284889.74</v>
      </c>
      <c r="E17" s="16" t="n">
        <v>181018.88</v>
      </c>
      <c r="F17" s="16" t="n">
        <v>424917515.6</v>
      </c>
    </row>
    <row r="18">
      <c r="A18" s="10" t="n">
        <v>14</v>
      </c>
      <c r="B18" s="8" t="n">
        <v>426297.25</v>
      </c>
      <c r="C18" s="8" t="n">
        <v>3987490.92</v>
      </c>
      <c r="D18" s="8" t="n">
        <v>2260207.09</v>
      </c>
      <c r="E18" s="8" t="n">
        <v>179063.41</v>
      </c>
      <c r="F18" s="8" t="n">
        <v>420324664.02</v>
      </c>
    </row>
    <row r="19">
      <c r="A19" s="6" t="n">
        <v>15</v>
      </c>
      <c r="B19" s="16" t="n">
        <v>424358.26</v>
      </c>
      <c r="C19" s="16" t="n">
        <v>3944367.9</v>
      </c>
      <c r="D19" s="16" t="n">
        <v>2235776.94</v>
      </c>
      <c r="E19" s="16" t="n">
        <v>177127.95</v>
      </c>
      <c r="F19" s="16" t="n">
        <v>415778809.91</v>
      </c>
    </row>
    <row r="20">
      <c r="A20" s="10" t="n">
        <v>16</v>
      </c>
      <c r="B20" s="8" t="n">
        <v>422428.09</v>
      </c>
      <c r="C20" s="8" t="n">
        <v>3901686.23</v>
      </c>
      <c r="D20" s="8" t="n">
        <v>2211596.79</v>
      </c>
      <c r="E20" s="8" t="n">
        <v>175212.29</v>
      </c>
      <c r="F20" s="8" t="n">
        <v>411279483.3</v>
      </c>
    </row>
    <row r="21">
      <c r="A21" s="6" t="n">
        <v>17</v>
      </c>
      <c r="B21" s="16" t="n">
        <v>420506.69</v>
      </c>
      <c r="C21" s="16" t="n">
        <v>3859441.51</v>
      </c>
      <c r="D21" s="16" t="n">
        <v>2187664.12</v>
      </c>
      <c r="E21" s="16" t="n">
        <v>173316.24</v>
      </c>
      <c r="F21" s="16" t="n">
        <v>406826218.86</v>
      </c>
    </row>
    <row r="22">
      <c r="A22" s="10" t="n">
        <v>18</v>
      </c>
      <c r="B22" s="8" t="n">
        <v>418594.02</v>
      </c>
      <c r="C22" s="8" t="n">
        <v>3817629.37</v>
      </c>
      <c r="D22" s="8" t="n">
        <v>2163976.46</v>
      </c>
      <c r="E22" s="8" t="n">
        <v>171439.6</v>
      </c>
      <c r="F22" s="8" t="n">
        <v>402418555.86</v>
      </c>
    </row>
    <row r="23">
      <c r="A23" s="6" t="n">
        <v>19</v>
      </c>
      <c r="B23" s="16" t="n">
        <v>416690.06</v>
      </c>
      <c r="C23" s="16" t="n">
        <v>3776245.48</v>
      </c>
      <c r="D23" s="16" t="n">
        <v>2140531.37</v>
      </c>
      <c r="E23" s="16" t="n">
        <v>169582.18</v>
      </c>
      <c r="F23" s="16" t="n">
        <v>398056038.15</v>
      </c>
    </row>
    <row r="24">
      <c r="A24" s="10" t="n">
        <v>20</v>
      </c>
      <c r="B24" s="8" t="n">
        <v>414794.74</v>
      </c>
      <c r="C24" s="8" t="n">
        <v>3735285.56</v>
      </c>
      <c r="D24" s="8" t="n">
        <v>2117326.41</v>
      </c>
      <c r="E24" s="8" t="n">
        <v>167743.78</v>
      </c>
      <c r="F24" s="8" t="n">
        <v>393738214.06</v>
      </c>
    </row>
    <row r="25">
      <c r="A25" s="6" t="n">
        <v>21</v>
      </c>
      <c r="B25" s="16" t="n">
        <v>412908.05</v>
      </c>
      <c r="C25" s="16" t="n">
        <v>3694745.36</v>
      </c>
      <c r="D25" s="16" t="n">
        <v>2094359.18</v>
      </c>
      <c r="E25" s="16" t="n">
        <v>165924.22</v>
      </c>
      <c r="F25" s="16" t="n">
        <v>389464636.43</v>
      </c>
    </row>
    <row r="26">
      <c r="A26" s="10" t="n">
        <v>22</v>
      </c>
      <c r="B26" s="8" t="n">
        <v>411029.94</v>
      </c>
      <c r="C26" s="8" t="n">
        <v>3654620.68</v>
      </c>
      <c r="D26" s="8" t="n">
        <v>2071627.31</v>
      </c>
      <c r="E26" s="8" t="n">
        <v>164123.3</v>
      </c>
      <c r="F26" s="8" t="n">
        <v>385234862.51</v>
      </c>
    </row>
    <row r="27">
      <c r="A27" s="6" t="n">
        <v>23</v>
      </c>
      <c r="B27" s="16" t="n">
        <v>409160.36</v>
      </c>
      <c r="C27" s="16" t="n">
        <v>3614907.37</v>
      </c>
      <c r="D27" s="16" t="n">
        <v>2049128.44</v>
      </c>
      <c r="E27" s="16" t="n">
        <v>162340.84</v>
      </c>
      <c r="F27" s="16" t="n">
        <v>381048453.93</v>
      </c>
    </row>
    <row r="28">
      <c r="A28" s="10" t="n">
        <v>24</v>
      </c>
      <c r="B28" s="8" t="n">
        <v>407299.29</v>
      </c>
      <c r="C28" s="8" t="n">
        <v>3575601.31</v>
      </c>
      <c r="D28" s="8" t="n">
        <v>2026860.23</v>
      </c>
      <c r="E28" s="8" t="n">
        <v>160576.66</v>
      </c>
      <c r="F28" s="8" t="n">
        <v>376904976.67</v>
      </c>
    </row>
    <row r="29">
      <c r="A29" s="6" t="n">
        <v>25</v>
      </c>
      <c r="B29" s="16" t="n">
        <v>405446.67</v>
      </c>
      <c r="C29" s="16" t="n">
        <v>3536698.42</v>
      </c>
      <c r="D29" s="16" t="n">
        <v>2004820.39</v>
      </c>
      <c r="E29" s="16" t="n">
        <v>158830.57</v>
      </c>
      <c r="F29" s="16" t="n">
        <v>372804001</v>
      </c>
    </row>
    <row r="30">
      <c r="A30" s="10" t="n">
        <v>26</v>
      </c>
      <c r="B30" s="8" t="n">
        <v>403602.49</v>
      </c>
      <c r="C30" s="8" t="n">
        <v>3498194.67</v>
      </c>
      <c r="D30" s="8" t="n">
        <v>1983006.62</v>
      </c>
      <c r="E30" s="8" t="n">
        <v>157102.39</v>
      </c>
      <c r="F30" s="8" t="n">
        <v>368745101.46</v>
      </c>
    </row>
    <row r="31">
      <c r="A31" s="6" t="n">
        <v>27</v>
      </c>
      <c r="B31" s="16" t="n">
        <v>401766.68</v>
      </c>
      <c r="C31" s="16" t="n">
        <v>3460086.06</v>
      </c>
      <c r="D31" s="16" t="n">
        <v>1961416.65</v>
      </c>
      <c r="E31" s="16" t="n">
        <v>155391.94</v>
      </c>
      <c r="F31" s="16" t="n">
        <v>364727856.78</v>
      </c>
    </row>
    <row r="32">
      <c r="A32" s="10" t="n">
        <v>28</v>
      </c>
      <c r="B32" s="8" t="n">
        <v>399939.22</v>
      </c>
      <c r="C32" s="8" t="n">
        <v>3422368.63</v>
      </c>
      <c r="D32" s="8" t="n">
        <v>1940048.26</v>
      </c>
      <c r="E32" s="8" t="n">
        <v>153699.04</v>
      </c>
      <c r="F32" s="8" t="n">
        <v>360751849.89</v>
      </c>
    </row>
    <row r="33">
      <c r="A33" s="6" t="n">
        <v>29</v>
      </c>
      <c r="B33" s="16" t="n">
        <v>398120.07</v>
      </c>
      <c r="C33" s="16" t="n">
        <v>3385038.47</v>
      </c>
      <c r="D33" s="16" t="n">
        <v>1918899.21</v>
      </c>
      <c r="E33" s="16" t="n">
        <v>152023.52</v>
      </c>
      <c r="F33" s="16" t="n">
        <v>356816667.82</v>
      </c>
    </row>
    <row r="34">
      <c r="A34" s="10" t="n">
        <v>30</v>
      </c>
      <c r="B34" s="8" t="n">
        <v>396309.2</v>
      </c>
      <c r="C34" s="8" t="n">
        <v>3348091.7</v>
      </c>
      <c r="D34" s="8" t="n">
        <v>1897967.33</v>
      </c>
      <c r="E34" s="8" t="n">
        <v>150365.2</v>
      </c>
      <c r="F34" s="8" t="n">
        <v>352921901.72</v>
      </c>
    </row>
    <row r="35">
      <c r="A35" s="6" t="n">
        <v>31</v>
      </c>
      <c r="B35" s="16" t="n">
        <v>394506.55</v>
      </c>
      <c r="C35" s="16" t="n">
        <v>3311524.47</v>
      </c>
      <c r="D35" s="16" t="n">
        <v>1877250.42</v>
      </c>
      <c r="E35" s="16" t="n">
        <v>148723.92</v>
      </c>
      <c r="F35" s="16" t="n">
        <v>349067146.78</v>
      </c>
    </row>
    <row r="36">
      <c r="A36" s="10" t="n">
        <v>32</v>
      </c>
      <c r="B36" s="8" t="n">
        <v>392712.1</v>
      </c>
      <c r="C36" s="8" t="n">
        <v>3275332.99</v>
      </c>
      <c r="D36" s="8" t="n">
        <v>1856746.33</v>
      </c>
      <c r="E36" s="8" t="n">
        <v>147099.5</v>
      </c>
      <c r="F36" s="8" t="n">
        <v>345252002.18</v>
      </c>
    </row>
    <row r="37">
      <c r="A37" s="6" t="n">
        <v>33</v>
      </c>
      <c r="B37" s="16" t="n">
        <v>390925.82</v>
      </c>
      <c r="C37" s="16" t="n">
        <v>3239513.5</v>
      </c>
      <c r="D37" s="16" t="n">
        <v>1836452.94</v>
      </c>
      <c r="E37" s="16" t="n">
        <v>145491.77</v>
      </c>
      <c r="F37" s="16" t="n">
        <v>341476071.1</v>
      </c>
    </row>
    <row r="38">
      <c r="A38" s="10" t="n">
        <v>34</v>
      </c>
      <c r="B38" s="8" t="n">
        <v>389147.65</v>
      </c>
      <c r="C38" s="8" t="n">
        <v>3204062.26</v>
      </c>
      <c r="D38" s="8" t="n">
        <v>1816368.13</v>
      </c>
      <c r="E38" s="8" t="n">
        <v>143900.56</v>
      </c>
      <c r="F38" s="8" t="n">
        <v>337738960.63</v>
      </c>
    </row>
    <row r="39">
      <c r="A39" s="6" t="n">
        <v>35</v>
      </c>
      <c r="B39" s="16" t="n">
        <v>387377.57</v>
      </c>
      <c r="C39" s="16" t="n">
        <v>3168975.58</v>
      </c>
      <c r="D39" s="16" t="n">
        <v>1796489.82</v>
      </c>
      <c r="E39" s="16" t="n">
        <v>142325.72</v>
      </c>
      <c r="F39" s="16" t="n">
        <v>334040281.77</v>
      </c>
    </row>
    <row r="40">
      <c r="A40" s="10" t="n">
        <v>36</v>
      </c>
      <c r="B40" s="8" t="n">
        <v>385615.53</v>
      </c>
      <c r="C40" s="8" t="n">
        <v>3134249.81</v>
      </c>
      <c r="D40" s="8" t="n">
        <v>1776815.93</v>
      </c>
      <c r="E40" s="8" t="n">
        <v>140767.07</v>
      </c>
      <c r="F40" s="8" t="n">
        <v>330379649.36</v>
      </c>
    </row>
    <row r="41">
      <c r="A41" s="18" t="inlineStr">
        <is>
          <t>Total</t>
        </is>
      </c>
      <c r="B41" s="28">
        <f>SUM(B5:B40)</f>
        <v/>
      </c>
      <c r="C41" s="28">
        <f>SUM(C5:C40)</f>
        <v/>
      </c>
      <c r="D41" s="28">
        <f>SUM(D5:D40)</f>
        <v/>
      </c>
      <c r="E41" s="28">
        <f>SUM(E5:E40)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Tranche Waterfall — Sequential Pay</t>
        </is>
      </c>
    </row>
    <row r="2">
      <c r="A2" s="20" t="inlineStr">
        <is>
          <t>Interest pro-rata to outstanding balance; principal sequential senior→sub; losses reverse-sequential (subordinate absorbs first).</t>
        </is>
      </c>
    </row>
    <row r="4">
      <c r="A4" s="1" t="inlineStr">
        <is>
          <t>Tranche summary</t>
        </is>
      </c>
    </row>
    <row r="5">
      <c r="A5" s="4" t="inlineStr">
        <is>
          <t>tranche</t>
        </is>
      </c>
      <c r="B5" s="4" t="inlineStr">
        <is>
          <t>total_principal</t>
        </is>
      </c>
      <c r="C5" s="4" t="inlineStr">
        <is>
          <t>total_interest</t>
        </is>
      </c>
      <c r="D5" s="4" t="inlineStr">
        <is>
          <t>final_balance</t>
        </is>
      </c>
    </row>
    <row r="6">
      <c r="A6" s="5" t="inlineStr">
        <is>
          <t>A (Senior)</t>
        </is>
      </c>
      <c r="B6" s="16" t="n">
        <v>152339098.2</v>
      </c>
      <c r="C6" s="16" t="n">
        <v>49943894.9</v>
      </c>
      <c r="D6" s="16" t="n">
        <v>228991226.72</v>
      </c>
    </row>
    <row r="7">
      <c r="A7" s="7" t="inlineStr">
        <is>
          <t>B (Subordinate)</t>
        </is>
      </c>
      <c r="B7" s="8" t="n">
        <v>0</v>
      </c>
      <c r="C7" s="8" t="n">
        <v>6847691.26</v>
      </c>
      <c r="D7" s="8" t="n">
        <v>32944518.21</v>
      </c>
    </row>
    <row r="8">
      <c r="A8" s="5" t="inlineStr">
        <is>
          <t>M (Mezz)</t>
        </is>
      </c>
      <c r="B8" s="16" t="n">
        <v>0</v>
      </c>
      <c r="C8" s="16" t="n">
        <v>13111841.94</v>
      </c>
      <c r="D8" s="16" t="n">
        <v>68443904.47</v>
      </c>
    </row>
    <row r="11">
      <c r="A11" s="1" t="inlineStr">
        <is>
          <t>Period detail</t>
        </is>
      </c>
    </row>
    <row r="12">
      <c r="A12" s="4" t="inlineStr">
        <is>
          <t>period</t>
        </is>
      </c>
      <c r="B12" s="4" t="inlineStr">
        <is>
          <t>tranche</t>
        </is>
      </c>
      <c r="C12" s="4" t="inlineStr">
        <is>
          <t>principal_paid</t>
        </is>
      </c>
      <c r="D12" s="4" t="inlineStr">
        <is>
          <t>interest_paid</t>
        </is>
      </c>
      <c r="E12" s="4" t="inlineStr">
        <is>
          <t>ending_balance</t>
        </is>
      </c>
    </row>
    <row r="13">
      <c r="A13" s="6" t="n">
        <v>1</v>
      </c>
      <c r="B13" s="5" t="inlineStr">
        <is>
          <t>A (Senior)</t>
        </is>
      </c>
      <c r="C13" s="16" t="n">
        <v>4983689.13</v>
      </c>
      <c r="D13" s="16" t="n">
        <v>1747763.99</v>
      </c>
      <c r="E13" s="16" t="n">
        <v>376346635.79</v>
      </c>
    </row>
    <row r="14">
      <c r="A14" s="10" t="n">
        <v>1</v>
      </c>
      <c r="B14" s="7" t="inlineStr">
        <is>
          <t>M (Mezz)</t>
        </is>
      </c>
      <c r="C14" s="8" t="n">
        <v>0</v>
      </c>
      <c r="D14" s="8" t="n">
        <v>364216.01</v>
      </c>
      <c r="E14" s="8" t="n">
        <v>68443904.47</v>
      </c>
    </row>
    <row r="15">
      <c r="A15" s="6" t="n">
        <v>1</v>
      </c>
      <c r="B15" s="5" t="inlineStr">
        <is>
          <t>B (Subordinate)</t>
        </is>
      </c>
      <c r="C15" s="16" t="n">
        <v>0</v>
      </c>
      <c r="D15" s="16" t="n">
        <v>207041.5</v>
      </c>
      <c r="E15" s="16" t="n">
        <v>38907485.44</v>
      </c>
    </row>
    <row r="16">
      <c r="A16" s="10" t="n">
        <v>2</v>
      </c>
      <c r="B16" s="7" t="inlineStr">
        <is>
          <t>A (Senior)</t>
        </is>
      </c>
      <c r="C16" s="8" t="n">
        <v>4938984.82</v>
      </c>
      <c r="D16" s="8" t="n">
        <v>1724922.08</v>
      </c>
      <c r="E16" s="8" t="n">
        <v>371407650.97</v>
      </c>
    </row>
    <row r="17">
      <c r="A17" s="6" t="n">
        <v>2</v>
      </c>
      <c r="B17" s="5" t="inlineStr">
        <is>
          <t>M (Mezz)</t>
        </is>
      </c>
      <c r="C17" s="16" t="n">
        <v>0</v>
      </c>
      <c r="D17" s="16" t="n">
        <v>364216.3</v>
      </c>
      <c r="E17" s="16" t="n">
        <v>68443904.47</v>
      </c>
    </row>
    <row r="18">
      <c r="A18" s="10" t="n">
        <v>2</v>
      </c>
      <c r="B18" s="7" t="inlineStr">
        <is>
          <t>B (Subordinate)</t>
        </is>
      </c>
      <c r="C18" s="8" t="n">
        <v>0</v>
      </c>
      <c r="D18" s="8" t="n">
        <v>205969.12</v>
      </c>
      <c r="E18" s="8" t="n">
        <v>38705929.51</v>
      </c>
    </row>
    <row r="19">
      <c r="A19" s="6" t="n">
        <v>3</v>
      </c>
      <c r="B19" s="5" t="inlineStr">
        <is>
          <t>A (Senior)</t>
        </is>
      </c>
      <c r="C19" s="16" t="n">
        <v>4895361.03</v>
      </c>
      <c r="D19" s="16" t="n">
        <v>1702285.07</v>
      </c>
      <c r="E19" s="16" t="n">
        <v>366512289.94</v>
      </c>
    </row>
    <row r="20">
      <c r="A20" s="10" t="n">
        <v>3</v>
      </c>
      <c r="B20" s="7" t="inlineStr">
        <is>
          <t>M (Mezz)</t>
        </is>
      </c>
      <c r="C20" s="8" t="n">
        <v>0</v>
      </c>
      <c r="D20" s="8" t="n">
        <v>364216.67</v>
      </c>
      <c r="E20" s="8" t="n">
        <v>68443904.47</v>
      </c>
    </row>
    <row r="21">
      <c r="A21" s="6" t="n">
        <v>3</v>
      </c>
      <c r="B21" s="5" t="inlineStr">
        <is>
          <t>B (Subordinate)</t>
        </is>
      </c>
      <c r="C21" s="16" t="n">
        <v>0</v>
      </c>
      <c r="D21" s="16" t="n">
        <v>204905.6</v>
      </c>
      <c r="E21" s="16" t="n">
        <v>38506033.02</v>
      </c>
    </row>
    <row r="22">
      <c r="A22" s="10" t="n">
        <v>4</v>
      </c>
      <c r="B22" s="7" t="inlineStr">
        <is>
          <t>A (Senior)</t>
        </is>
      </c>
      <c r="C22" s="8" t="n">
        <v>4853864.68</v>
      </c>
      <c r="D22" s="8" t="n">
        <v>1679848</v>
      </c>
      <c r="E22" s="8" t="n">
        <v>361658425.26</v>
      </c>
    </row>
    <row r="23">
      <c r="A23" s="6" t="n">
        <v>4</v>
      </c>
      <c r="B23" s="5" t="inlineStr">
        <is>
          <t>M (Mezz)</t>
        </is>
      </c>
      <c r="C23" s="16" t="n">
        <v>0</v>
      </c>
      <c r="D23" s="16" t="n">
        <v>364217.06</v>
      </c>
      <c r="E23" s="16" t="n">
        <v>68443904.47</v>
      </c>
    </row>
    <row r="24">
      <c r="A24" s="10" t="n">
        <v>4</v>
      </c>
      <c r="B24" s="7" t="inlineStr">
        <is>
          <t>B (Subordinate)</t>
        </is>
      </c>
      <c r="C24" s="8" t="n">
        <v>0</v>
      </c>
      <c r="D24" s="8" t="n">
        <v>203850.73</v>
      </c>
      <c r="E24" s="8" t="n">
        <v>38307760.35</v>
      </c>
    </row>
    <row r="25">
      <c r="A25" s="6" t="n">
        <v>5</v>
      </c>
      <c r="B25" s="5" t="inlineStr">
        <is>
          <t>A (Senior)</t>
        </is>
      </c>
      <c r="C25" s="16" t="n">
        <v>4815170.04</v>
      </c>
      <c r="D25" s="16" t="n">
        <v>1657601.12</v>
      </c>
      <c r="E25" s="16" t="n">
        <v>356843255.22</v>
      </c>
    </row>
    <row r="26">
      <c r="A26" s="10" t="n">
        <v>5</v>
      </c>
      <c r="B26" s="7" t="inlineStr">
        <is>
          <t>M (Mezz)</t>
        </is>
      </c>
      <c r="C26" s="8" t="n">
        <v>0</v>
      </c>
      <c r="D26" s="8" t="n">
        <v>364217.46</v>
      </c>
      <c r="E26" s="8" t="n">
        <v>68443904.47</v>
      </c>
    </row>
    <row r="27">
      <c r="A27" s="6" t="n">
        <v>5</v>
      </c>
      <c r="B27" s="5" t="inlineStr">
        <is>
          <t>B (Subordinate)</t>
        </is>
      </c>
      <c r="C27" s="16" t="n">
        <v>0</v>
      </c>
      <c r="D27" s="16" t="n">
        <v>202804.39</v>
      </c>
      <c r="E27" s="16" t="n">
        <v>38111088.95</v>
      </c>
    </row>
    <row r="28">
      <c r="A28" s="10" t="n">
        <v>6</v>
      </c>
      <c r="B28" s="7" t="inlineStr">
        <is>
          <t>A (Senior)</t>
        </is>
      </c>
      <c r="C28" s="8" t="n">
        <v>4779309.13</v>
      </c>
      <c r="D28" s="8" t="n">
        <v>1635531.59</v>
      </c>
      <c r="E28" s="8" t="n">
        <v>352063946.09</v>
      </c>
    </row>
    <row r="29">
      <c r="A29" s="6" t="n">
        <v>6</v>
      </c>
      <c r="B29" s="5" t="inlineStr">
        <is>
          <t>M (Mezz)</t>
        </is>
      </c>
      <c r="C29" s="16" t="n">
        <v>0</v>
      </c>
      <c r="D29" s="16" t="n">
        <v>364217.84</v>
      </c>
      <c r="E29" s="16" t="n">
        <v>68443904.47</v>
      </c>
    </row>
    <row r="30">
      <c r="A30" s="10" t="n">
        <v>6</v>
      </c>
      <c r="B30" s="7" t="inlineStr">
        <is>
          <t>B (Subordinate)</t>
        </is>
      </c>
      <c r="C30" s="8" t="n">
        <v>0</v>
      </c>
      <c r="D30" s="8" t="n">
        <v>201766.63</v>
      </c>
      <c r="E30" s="8" t="n">
        <v>37916032.83</v>
      </c>
    </row>
    <row r="31">
      <c r="A31" s="6" t="n">
        <v>7</v>
      </c>
      <c r="B31" s="5" t="inlineStr">
        <is>
          <t>A (Senior)</t>
        </is>
      </c>
      <c r="C31" s="16" t="n">
        <v>4742210.88</v>
      </c>
      <c r="D31" s="16" t="n">
        <v>1613626.42</v>
      </c>
      <c r="E31" s="16" t="n">
        <v>347321735.21</v>
      </c>
    </row>
    <row r="32">
      <c r="A32" s="10" t="n">
        <v>7</v>
      </c>
      <c r="B32" s="7" t="inlineStr">
        <is>
          <t>M (Mezz)</t>
        </is>
      </c>
      <c r="C32" s="8" t="n">
        <v>0</v>
      </c>
      <c r="D32" s="8" t="n">
        <v>364218.02</v>
      </c>
      <c r="E32" s="8" t="n">
        <v>68443904.47</v>
      </c>
    </row>
    <row r="33">
      <c r="A33" s="6" t="n">
        <v>7</v>
      </c>
      <c r="B33" s="5" t="inlineStr">
        <is>
          <t>B (Subordinate)</t>
        </is>
      </c>
      <c r="C33" s="16" t="n">
        <v>0</v>
      </c>
      <c r="D33" s="16" t="n">
        <v>200738.72</v>
      </c>
      <c r="E33" s="16" t="n">
        <v>37722849.59</v>
      </c>
    </row>
    <row r="34">
      <c r="A34" s="10" t="n">
        <v>8</v>
      </c>
      <c r="B34" s="7" t="inlineStr">
        <is>
          <t>A (Senior)</t>
        </is>
      </c>
      <c r="C34" s="8" t="n">
        <v>4693869.11</v>
      </c>
      <c r="D34" s="8" t="n">
        <v>1591891.29</v>
      </c>
      <c r="E34" s="8" t="n">
        <v>342627866.1</v>
      </c>
    </row>
    <row r="35">
      <c r="A35" s="6" t="n">
        <v>8</v>
      </c>
      <c r="B35" s="5" t="inlineStr">
        <is>
          <t>M (Mezz)</t>
        </is>
      </c>
      <c r="C35" s="16" t="n">
        <v>0</v>
      </c>
      <c r="D35" s="16" t="n">
        <v>364218.02</v>
      </c>
      <c r="E35" s="16" t="n">
        <v>68443904.47</v>
      </c>
    </row>
    <row r="36">
      <c r="A36" s="10" t="n">
        <v>8</v>
      </c>
      <c r="B36" s="7" t="inlineStr">
        <is>
          <t>B (Subordinate)</t>
        </is>
      </c>
      <c r="C36" s="8" t="n">
        <v>0</v>
      </c>
      <c r="D36" s="8" t="n">
        <v>199721.78</v>
      </c>
      <c r="E36" s="8" t="n">
        <v>37531746.16</v>
      </c>
    </row>
    <row r="37">
      <c r="A37" s="6" t="n">
        <v>9</v>
      </c>
      <c r="B37" s="5" t="inlineStr">
        <is>
          <t>A (Senior)</t>
        </is>
      </c>
      <c r="C37" s="16" t="n">
        <v>4646009.97</v>
      </c>
      <c r="D37" s="16" t="n">
        <v>1570377.72</v>
      </c>
      <c r="E37" s="16" t="n">
        <v>337981856.13</v>
      </c>
    </row>
    <row r="38">
      <c r="A38" s="10" t="n">
        <v>9</v>
      </c>
      <c r="B38" s="7" t="inlineStr">
        <is>
          <t>M (Mezz)</t>
        </is>
      </c>
      <c r="C38" s="8" t="n">
        <v>0</v>
      </c>
      <c r="D38" s="8" t="n">
        <v>364218.02</v>
      </c>
      <c r="E38" s="8" t="n">
        <v>68443904.47</v>
      </c>
    </row>
    <row r="39">
      <c r="A39" s="6" t="n">
        <v>9</v>
      </c>
      <c r="B39" s="5" t="inlineStr">
        <is>
          <t>B (Subordinate)</t>
        </is>
      </c>
      <c r="C39" s="16" t="n">
        <v>0</v>
      </c>
      <c r="D39" s="16" t="n">
        <v>198715.79</v>
      </c>
      <c r="E39" s="16" t="n">
        <v>37342701.29</v>
      </c>
    </row>
    <row r="40">
      <c r="A40" s="10" t="n">
        <v>10</v>
      </c>
      <c r="B40" s="7" t="inlineStr">
        <is>
          <t>A (Senior)</t>
        </is>
      </c>
      <c r="C40" s="8" t="n">
        <v>4598628.68</v>
      </c>
      <c r="D40" s="8" t="n">
        <v>1549083.51</v>
      </c>
      <c r="E40" s="8" t="n">
        <v>333383227.45</v>
      </c>
    </row>
    <row r="41">
      <c r="A41" s="6" t="n">
        <v>10</v>
      </c>
      <c r="B41" s="5" t="inlineStr">
        <is>
          <t>M (Mezz)</t>
        </is>
      </c>
      <c r="C41" s="16" t="n">
        <v>0</v>
      </c>
      <c r="D41" s="16" t="n">
        <v>364218.02</v>
      </c>
      <c r="E41" s="16" t="n">
        <v>68443904.47</v>
      </c>
    </row>
    <row r="42">
      <c r="A42" s="10" t="n">
        <v>10</v>
      </c>
      <c r="B42" s="7" t="inlineStr">
        <is>
          <t>B (Subordinate)</t>
        </is>
      </c>
      <c r="C42" s="8" t="n">
        <v>0</v>
      </c>
      <c r="D42" s="8" t="n">
        <v>197720.65</v>
      </c>
      <c r="E42" s="8" t="n">
        <v>37155693.95</v>
      </c>
    </row>
    <row r="43">
      <c r="A43" s="6" t="n">
        <v>11</v>
      </c>
      <c r="B43" s="5" t="inlineStr">
        <is>
          <t>A (Senior)</t>
        </is>
      </c>
      <c r="C43" s="16" t="n">
        <v>4551720.52</v>
      </c>
      <c r="D43" s="16" t="n">
        <v>1528006.46</v>
      </c>
      <c r="E43" s="16" t="n">
        <v>328831506.93</v>
      </c>
    </row>
    <row r="44">
      <c r="A44" s="10" t="n">
        <v>11</v>
      </c>
      <c r="B44" s="7" t="inlineStr">
        <is>
          <t>M (Mezz)</t>
        </is>
      </c>
      <c r="C44" s="8" t="n">
        <v>0</v>
      </c>
      <c r="D44" s="8" t="n">
        <v>364218.02</v>
      </c>
      <c r="E44" s="8" t="n">
        <v>68443904.47</v>
      </c>
    </row>
    <row r="45">
      <c r="A45" s="6" t="n">
        <v>11</v>
      </c>
      <c r="B45" s="5" t="inlineStr">
        <is>
          <t>B (Subordinate)</t>
        </is>
      </c>
      <c r="C45" s="16" t="n">
        <v>0</v>
      </c>
      <c r="D45" s="16" t="n">
        <v>196736.24</v>
      </c>
      <c r="E45" s="16" t="n">
        <v>36970703.31</v>
      </c>
    </row>
    <row r="46">
      <c r="A46" s="10" t="n">
        <v>12</v>
      </c>
      <c r="B46" s="7" t="inlineStr">
        <is>
          <t>A (Senior)</t>
        </is>
      </c>
      <c r="C46" s="8" t="n">
        <v>4505280.79</v>
      </c>
      <c r="D46" s="8" t="n">
        <v>1507144.41</v>
      </c>
      <c r="E46" s="8" t="n">
        <v>324326226.14</v>
      </c>
    </row>
    <row r="47">
      <c r="A47" s="6" t="n">
        <v>12</v>
      </c>
      <c r="B47" s="5" t="inlineStr">
        <is>
          <t>M (Mezz)</t>
        </is>
      </c>
      <c r="C47" s="16" t="n">
        <v>0</v>
      </c>
      <c r="D47" s="16" t="n">
        <v>364218.02</v>
      </c>
      <c r="E47" s="16" t="n">
        <v>68443904.47</v>
      </c>
    </row>
    <row r="48">
      <c r="A48" s="10" t="n">
        <v>12</v>
      </c>
      <c r="B48" s="7" t="inlineStr">
        <is>
          <t>B (Subordinate)</t>
        </is>
      </c>
      <c r="C48" s="8" t="n">
        <v>0</v>
      </c>
      <c r="D48" s="8" t="n">
        <v>195762.45</v>
      </c>
      <c r="E48" s="8" t="n">
        <v>36787708.76</v>
      </c>
    </row>
    <row r="49">
      <c r="A49" s="6" t="n">
        <v>13</v>
      </c>
      <c r="B49" s="5" t="inlineStr">
        <is>
          <t>A (Senior)</t>
        </is>
      </c>
      <c r="C49" s="16" t="n">
        <v>4459304.87</v>
      </c>
      <c r="D49" s="16" t="n">
        <v>1486495.2</v>
      </c>
      <c r="E49" s="16" t="n">
        <v>319866921.27</v>
      </c>
    </row>
    <row r="50">
      <c r="A50" s="10" t="n">
        <v>13</v>
      </c>
      <c r="B50" s="7" t="inlineStr">
        <is>
          <t>M (Mezz)</t>
        </is>
      </c>
      <c r="C50" s="8" t="n">
        <v>0</v>
      </c>
      <c r="D50" s="8" t="n">
        <v>364218.02</v>
      </c>
      <c r="E50" s="8" t="n">
        <v>68443904.47</v>
      </c>
    </row>
    <row r="51">
      <c r="A51" s="6" t="n">
        <v>13</v>
      </c>
      <c r="B51" s="5" t="inlineStr">
        <is>
          <t>B (Subordinate)</t>
        </is>
      </c>
      <c r="C51" s="16" t="n">
        <v>0</v>
      </c>
      <c r="D51" s="16" t="n">
        <v>194799.17</v>
      </c>
      <c r="E51" s="16" t="n">
        <v>36606689.88</v>
      </c>
    </row>
    <row r="52">
      <c r="A52" s="10" t="n">
        <v>14</v>
      </c>
      <c r="B52" s="7" t="inlineStr">
        <is>
          <t>A (Senior)</t>
        </is>
      </c>
      <c r="C52" s="8" t="n">
        <v>4413788.17</v>
      </c>
      <c r="D52" s="8" t="n">
        <v>1466056.72</v>
      </c>
      <c r="E52" s="8" t="n">
        <v>315453133.1</v>
      </c>
    </row>
    <row r="53">
      <c r="A53" s="6" t="n">
        <v>14</v>
      </c>
      <c r="B53" s="5" t="inlineStr">
        <is>
          <t>M (Mezz)</t>
        </is>
      </c>
      <c r="C53" s="16" t="n">
        <v>0</v>
      </c>
      <c r="D53" s="16" t="n">
        <v>364218.02</v>
      </c>
      <c r="E53" s="16" t="n">
        <v>68443904.47</v>
      </c>
    </row>
    <row r="54">
      <c r="A54" s="10" t="n">
        <v>14</v>
      </c>
      <c r="B54" s="7" t="inlineStr">
        <is>
          <t>B (Subordinate)</t>
        </is>
      </c>
      <c r="C54" s="8" t="n">
        <v>0</v>
      </c>
      <c r="D54" s="8" t="n">
        <v>193846.31</v>
      </c>
      <c r="E54" s="8" t="n">
        <v>36427626.47</v>
      </c>
    </row>
    <row r="55">
      <c r="A55" s="6" t="n">
        <v>15</v>
      </c>
      <c r="B55" s="5" t="inlineStr">
        <is>
          <t>A (Senior)</t>
        </is>
      </c>
      <c r="C55" s="16" t="n">
        <v>4368726.16</v>
      </c>
      <c r="D55" s="16" t="n">
        <v>1445826.86</v>
      </c>
      <c r="E55" s="16" t="n">
        <v>311084406.94</v>
      </c>
    </row>
    <row r="56">
      <c r="A56" s="10" t="n">
        <v>15</v>
      </c>
      <c r="B56" s="7" t="inlineStr">
        <is>
          <t>M (Mezz)</t>
        </is>
      </c>
      <c r="C56" s="8" t="n">
        <v>0</v>
      </c>
      <c r="D56" s="8" t="n">
        <v>364218.02</v>
      </c>
      <c r="E56" s="8" t="n">
        <v>68443904.47</v>
      </c>
    </row>
    <row r="57">
      <c r="A57" s="6" t="n">
        <v>15</v>
      </c>
      <c r="B57" s="5" t="inlineStr">
        <is>
          <t>B (Subordinate)</t>
        </is>
      </c>
      <c r="C57" s="16" t="n">
        <v>0</v>
      </c>
      <c r="D57" s="16" t="n">
        <v>192903.73</v>
      </c>
      <c r="E57" s="16" t="n">
        <v>36250498.52</v>
      </c>
    </row>
    <row r="58">
      <c r="A58" s="10" t="n">
        <v>16</v>
      </c>
      <c r="B58" s="7" t="inlineStr">
        <is>
          <t>A (Senior)</t>
        </is>
      </c>
      <c r="C58" s="8" t="n">
        <v>4324114.32</v>
      </c>
      <c r="D58" s="8" t="n">
        <v>1425803.53</v>
      </c>
      <c r="E58" s="8" t="n">
        <v>306760292.62</v>
      </c>
    </row>
    <row r="59">
      <c r="A59" s="6" t="n">
        <v>16</v>
      </c>
      <c r="B59" s="5" t="inlineStr">
        <is>
          <t>M (Mezz)</t>
        </is>
      </c>
      <c r="C59" s="16" t="n">
        <v>0</v>
      </c>
      <c r="D59" s="16" t="n">
        <v>364218.02</v>
      </c>
      <c r="E59" s="16" t="n">
        <v>68443904.47</v>
      </c>
    </row>
    <row r="60">
      <c r="A60" s="10" t="n">
        <v>16</v>
      </c>
      <c r="B60" s="7" t="inlineStr">
        <is>
          <t>B (Subordinate)</t>
        </is>
      </c>
      <c r="C60" s="8" t="n">
        <v>0</v>
      </c>
      <c r="D60" s="8" t="n">
        <v>191971.36</v>
      </c>
      <c r="E60" s="8" t="n">
        <v>36075286.23</v>
      </c>
    </row>
    <row r="61">
      <c r="A61" s="6" t="n">
        <v>17</v>
      </c>
      <c r="B61" s="5" t="inlineStr">
        <is>
          <t>A (Senior)</t>
        </is>
      </c>
      <c r="C61" s="16" t="n">
        <v>4279948.2</v>
      </c>
      <c r="D61" s="16" t="n">
        <v>1405984.67</v>
      </c>
      <c r="E61" s="16" t="n">
        <v>302480344.42</v>
      </c>
    </row>
    <row r="62">
      <c r="A62" s="10" t="n">
        <v>17</v>
      </c>
      <c r="B62" s="7" t="inlineStr">
        <is>
          <t>M (Mezz)</t>
        </is>
      </c>
      <c r="C62" s="8" t="n">
        <v>0</v>
      </c>
      <c r="D62" s="8" t="n">
        <v>364218.02</v>
      </c>
      <c r="E62" s="8" t="n">
        <v>68443904.47</v>
      </c>
    </row>
    <row r="63">
      <c r="A63" s="6" t="n">
        <v>17</v>
      </c>
      <c r="B63" s="5" t="inlineStr">
        <is>
          <t>B (Subordinate)</t>
        </is>
      </c>
      <c r="C63" s="16" t="n">
        <v>0</v>
      </c>
      <c r="D63" s="16" t="n">
        <v>191049.07</v>
      </c>
      <c r="E63" s="16" t="n">
        <v>35901969.99</v>
      </c>
    </row>
    <row r="64">
      <c r="A64" s="10" t="n">
        <v>18</v>
      </c>
      <c r="B64" s="7" t="inlineStr">
        <is>
          <t>A (Senior)</t>
        </is>
      </c>
      <c r="C64" s="8" t="n">
        <v>4236223.39</v>
      </c>
      <c r="D64" s="8" t="n">
        <v>1386368.25</v>
      </c>
      <c r="E64" s="8" t="n">
        <v>298244121.03</v>
      </c>
    </row>
    <row r="65">
      <c r="A65" s="6" t="n">
        <v>18</v>
      </c>
      <c r="B65" s="5" t="inlineStr">
        <is>
          <t>M (Mezz)</t>
        </is>
      </c>
      <c r="C65" s="16" t="n">
        <v>0</v>
      </c>
      <c r="D65" s="16" t="n">
        <v>364218.02</v>
      </c>
      <c r="E65" s="16" t="n">
        <v>68443904.47</v>
      </c>
    </row>
    <row r="66">
      <c r="A66" s="10" t="n">
        <v>18</v>
      </c>
      <c r="B66" s="7" t="inlineStr">
        <is>
          <t>B (Subordinate)</t>
        </is>
      </c>
      <c r="C66" s="8" t="n">
        <v>0</v>
      </c>
      <c r="D66" s="8" t="n">
        <v>190136.77</v>
      </c>
      <c r="E66" s="8" t="n">
        <v>35730530.39</v>
      </c>
    </row>
    <row r="67">
      <c r="A67" s="6" t="n">
        <v>19</v>
      </c>
      <c r="B67" s="5" t="inlineStr">
        <is>
          <t>A (Senior)</t>
        </is>
      </c>
      <c r="C67" s="16" t="n">
        <v>4192935.54</v>
      </c>
      <c r="D67" s="16" t="n">
        <v>1366952.22</v>
      </c>
      <c r="E67" s="16" t="n">
        <v>294051185.49</v>
      </c>
    </row>
    <row r="68">
      <c r="A68" s="10" t="n">
        <v>19</v>
      </c>
      <c r="B68" s="7" t="inlineStr">
        <is>
          <t>M (Mezz)</t>
        </is>
      </c>
      <c r="C68" s="8" t="n">
        <v>0</v>
      </c>
      <c r="D68" s="8" t="n">
        <v>364218.02</v>
      </c>
      <c r="E68" s="8" t="n">
        <v>68443904.47</v>
      </c>
    </row>
    <row r="69">
      <c r="A69" s="6" t="n">
        <v>19</v>
      </c>
      <c r="B69" s="5" t="inlineStr">
        <is>
          <t>B (Subordinate)</t>
        </is>
      </c>
      <c r="C69" s="16" t="n">
        <v>0</v>
      </c>
      <c r="D69" s="16" t="n">
        <v>189234.36</v>
      </c>
      <c r="E69" s="16" t="n">
        <v>35560948.21</v>
      </c>
    </row>
    <row r="70">
      <c r="A70" s="10" t="n">
        <v>20</v>
      </c>
      <c r="B70" s="7" t="inlineStr">
        <is>
          <t>A (Senior)</t>
        </is>
      </c>
      <c r="C70" s="8" t="n">
        <v>4150080.3</v>
      </c>
      <c r="D70" s="8" t="n">
        <v>1347734.6</v>
      </c>
      <c r="E70" s="8" t="n">
        <v>289901105.19</v>
      </c>
    </row>
    <row r="71">
      <c r="A71" s="6" t="n">
        <v>20</v>
      </c>
      <c r="B71" s="5" t="inlineStr">
        <is>
          <t>M (Mezz)</t>
        </is>
      </c>
      <c r="C71" s="16" t="n">
        <v>0</v>
      </c>
      <c r="D71" s="16" t="n">
        <v>364218.02</v>
      </c>
      <c r="E71" s="16" t="n">
        <v>68443904.47</v>
      </c>
    </row>
    <row r="72">
      <c r="A72" s="10" t="n">
        <v>20</v>
      </c>
      <c r="B72" s="7" t="inlineStr">
        <is>
          <t>B (Subordinate)</t>
        </is>
      </c>
      <c r="C72" s="8" t="n">
        <v>0</v>
      </c>
      <c r="D72" s="8" t="n">
        <v>188341.72</v>
      </c>
      <c r="E72" s="8" t="n">
        <v>35393204.43</v>
      </c>
    </row>
    <row r="73">
      <c r="A73" s="6" t="n">
        <v>21</v>
      </c>
      <c r="B73" s="5" t="inlineStr">
        <is>
          <t>A (Senior)</t>
        </is>
      </c>
      <c r="C73" s="16" t="n">
        <v>4107653.41</v>
      </c>
      <c r="D73" s="16" t="n">
        <v>1328713.4</v>
      </c>
      <c r="E73" s="16" t="n">
        <v>285793451.78</v>
      </c>
    </row>
    <row r="74">
      <c r="A74" s="10" t="n">
        <v>21</v>
      </c>
      <c r="B74" s="7" t="inlineStr">
        <is>
          <t>M (Mezz)</t>
        </is>
      </c>
      <c r="C74" s="8" t="n">
        <v>0</v>
      </c>
      <c r="D74" s="8" t="n">
        <v>364218.02</v>
      </c>
      <c r="E74" s="8" t="n">
        <v>68443904.47</v>
      </c>
    </row>
    <row r="75">
      <c r="A75" s="6" t="n">
        <v>21</v>
      </c>
      <c r="B75" s="5" t="inlineStr">
        <is>
          <t>B (Subordinate)</t>
        </is>
      </c>
      <c r="C75" s="16" t="n">
        <v>0</v>
      </c>
      <c r="D75" s="16" t="n">
        <v>187458.77</v>
      </c>
      <c r="E75" s="16" t="n">
        <v>35227280.21</v>
      </c>
    </row>
    <row r="76">
      <c r="A76" s="10" t="n">
        <v>22</v>
      </c>
      <c r="B76" s="7" t="inlineStr">
        <is>
          <t>A (Senior)</t>
        </is>
      </c>
      <c r="C76" s="8" t="n">
        <v>4065650.62</v>
      </c>
      <c r="D76" s="8" t="n">
        <v>1309886.65</v>
      </c>
      <c r="E76" s="8" t="n">
        <v>281727801.16</v>
      </c>
    </row>
    <row r="77">
      <c r="A77" s="6" t="n">
        <v>22</v>
      </c>
      <c r="B77" s="5" t="inlineStr">
        <is>
          <t>M (Mezz)</t>
        </is>
      </c>
      <c r="C77" s="16" t="n">
        <v>0</v>
      </c>
      <c r="D77" s="16" t="n">
        <v>364218.02</v>
      </c>
      <c r="E77" s="16" t="n">
        <v>68443904.47</v>
      </c>
    </row>
    <row r="78">
      <c r="A78" s="10" t="n">
        <v>22</v>
      </c>
      <c r="B78" s="7" t="inlineStr">
        <is>
          <t>B (Subordinate)</t>
        </is>
      </c>
      <c r="C78" s="8" t="n">
        <v>0</v>
      </c>
      <c r="D78" s="8" t="n">
        <v>186585.4</v>
      </c>
      <c r="E78" s="8" t="n">
        <v>35063156.91</v>
      </c>
    </row>
    <row r="79">
      <c r="A79" s="6" t="n">
        <v>23</v>
      </c>
      <c r="B79" s="5" t="inlineStr">
        <is>
          <t>A (Senior)</t>
        </is>
      </c>
      <c r="C79" s="16" t="n">
        <v>4024067.73</v>
      </c>
      <c r="D79" s="16" t="n">
        <v>1291252.42</v>
      </c>
      <c r="E79" s="16" t="n">
        <v>277703733.43</v>
      </c>
    </row>
    <row r="80">
      <c r="A80" s="10" t="n">
        <v>23</v>
      </c>
      <c r="B80" s="7" t="inlineStr">
        <is>
          <t>M (Mezz)</t>
        </is>
      </c>
      <c r="C80" s="8" t="n">
        <v>0</v>
      </c>
      <c r="D80" s="8" t="n">
        <v>364218.02</v>
      </c>
      <c r="E80" s="8" t="n">
        <v>68443904.47</v>
      </c>
    </row>
    <row r="81">
      <c r="A81" s="6" t="n">
        <v>23</v>
      </c>
      <c r="B81" s="5" t="inlineStr">
        <is>
          <t>B (Subordinate)</t>
        </is>
      </c>
      <c r="C81" s="16" t="n">
        <v>0</v>
      </c>
      <c r="D81" s="16" t="n">
        <v>185721.52</v>
      </c>
      <c r="E81" s="16" t="n">
        <v>34900816.07</v>
      </c>
    </row>
    <row r="82">
      <c r="A82" s="10" t="n">
        <v>24</v>
      </c>
      <c r="B82" s="7" t="inlineStr">
        <is>
          <t>A (Senior)</t>
        </is>
      </c>
      <c r="C82" s="8" t="n">
        <v>3982900.6</v>
      </c>
      <c r="D82" s="8" t="n">
        <v>1272808.78</v>
      </c>
      <c r="E82" s="8" t="n">
        <v>273720832.83</v>
      </c>
    </row>
    <row r="83">
      <c r="A83" s="6" t="n">
        <v>24</v>
      </c>
      <c r="B83" s="5" t="inlineStr">
        <is>
          <t>M (Mezz)</t>
        </is>
      </c>
      <c r="C83" s="16" t="n">
        <v>0</v>
      </c>
      <c r="D83" s="16" t="n">
        <v>364218.02</v>
      </c>
      <c r="E83" s="16" t="n">
        <v>68443904.47</v>
      </c>
    </row>
    <row r="84">
      <c r="A84" s="10" t="n">
        <v>24</v>
      </c>
      <c r="B84" s="7" t="inlineStr">
        <is>
          <t>B (Subordinate)</t>
        </is>
      </c>
      <c r="C84" s="8" t="n">
        <v>0</v>
      </c>
      <c r="D84" s="8" t="n">
        <v>184867.03</v>
      </c>
      <c r="E84" s="8" t="n">
        <v>34740239.41</v>
      </c>
    </row>
    <row r="85">
      <c r="A85" s="6" t="n">
        <v>25</v>
      </c>
      <c r="B85" s="5" t="inlineStr">
        <is>
          <t>A (Senior)</t>
        </is>
      </c>
      <c r="C85" s="16" t="n">
        <v>3942145.09</v>
      </c>
      <c r="D85" s="16" t="n">
        <v>1254553.82</v>
      </c>
      <c r="E85" s="16" t="n">
        <v>269778687.74</v>
      </c>
    </row>
    <row r="86">
      <c r="A86" s="10" t="n">
        <v>25</v>
      </c>
      <c r="B86" s="7" t="inlineStr">
        <is>
          <t>M (Mezz)</t>
        </is>
      </c>
      <c r="C86" s="8" t="n">
        <v>0</v>
      </c>
      <c r="D86" s="8" t="n">
        <v>364218.02</v>
      </c>
      <c r="E86" s="8" t="n">
        <v>68443904.47</v>
      </c>
    </row>
    <row r="87">
      <c r="A87" s="6" t="n">
        <v>25</v>
      </c>
      <c r="B87" s="5" t="inlineStr">
        <is>
          <t>B (Subordinate)</t>
        </is>
      </c>
      <c r="C87" s="16" t="n">
        <v>0</v>
      </c>
      <c r="D87" s="16" t="n">
        <v>184021.83</v>
      </c>
      <c r="E87" s="16" t="n">
        <v>34581408.84</v>
      </c>
    </row>
    <row r="88">
      <c r="A88" s="10" t="n">
        <v>26</v>
      </c>
      <c r="B88" s="7" t="inlineStr">
        <is>
          <t>A (Senior)</t>
        </is>
      </c>
      <c r="C88" s="8" t="n">
        <v>3901797.16</v>
      </c>
      <c r="D88" s="8" t="n">
        <v>1236485.65</v>
      </c>
      <c r="E88" s="8" t="n">
        <v>265876890.58</v>
      </c>
    </row>
    <row r="89">
      <c r="A89" s="6" t="n">
        <v>26</v>
      </c>
      <c r="B89" s="5" t="inlineStr">
        <is>
          <t>M (Mezz)</t>
        </is>
      </c>
      <c r="C89" s="16" t="n">
        <v>0</v>
      </c>
      <c r="D89" s="16" t="n">
        <v>364218.02</v>
      </c>
      <c r="E89" s="16" t="n">
        <v>68443904.47</v>
      </c>
    </row>
    <row r="90">
      <c r="A90" s="10" t="n">
        <v>26</v>
      </c>
      <c r="B90" s="7" t="inlineStr">
        <is>
          <t>B (Subordinate)</t>
        </is>
      </c>
      <c r="C90" s="8" t="n">
        <v>0</v>
      </c>
      <c r="D90" s="8" t="n">
        <v>183185.82</v>
      </c>
      <c r="E90" s="8" t="n">
        <v>34424306.45</v>
      </c>
    </row>
    <row r="91">
      <c r="A91" s="6" t="n">
        <v>27</v>
      </c>
      <c r="B91" s="5" t="inlineStr">
        <is>
          <t>A (Senior)</t>
        </is>
      </c>
      <c r="C91" s="16" t="n">
        <v>3861852.74</v>
      </c>
      <c r="D91" s="16" t="n">
        <v>1218602.42</v>
      </c>
      <c r="E91" s="16" t="n">
        <v>262015037.84</v>
      </c>
    </row>
    <row r="92">
      <c r="A92" s="10" t="n">
        <v>27</v>
      </c>
      <c r="B92" s="7" t="inlineStr">
        <is>
          <t>M (Mezz)</t>
        </is>
      </c>
      <c r="C92" s="8" t="n">
        <v>0</v>
      </c>
      <c r="D92" s="8" t="n">
        <v>364218.02</v>
      </c>
      <c r="E92" s="8" t="n">
        <v>68443904.47</v>
      </c>
    </row>
    <row r="93">
      <c r="A93" s="6" t="n">
        <v>27</v>
      </c>
      <c r="B93" s="5" t="inlineStr">
        <is>
          <t>B (Subordinate)</t>
        </is>
      </c>
      <c r="C93" s="16" t="n">
        <v>0</v>
      </c>
      <c r="D93" s="16" t="n">
        <v>182358.91</v>
      </c>
      <c r="E93" s="16" t="n">
        <v>34268914.51</v>
      </c>
    </row>
    <row r="94">
      <c r="A94" s="10" t="n">
        <v>28</v>
      </c>
      <c r="B94" s="7" t="inlineStr">
        <is>
          <t>A (Senior)</t>
        </is>
      </c>
      <c r="C94" s="8" t="n">
        <v>3822307.85</v>
      </c>
      <c r="D94" s="8" t="n">
        <v>1200902.26</v>
      </c>
      <c r="E94" s="8" t="n">
        <v>258192729.99</v>
      </c>
    </row>
    <row r="95">
      <c r="A95" s="6" t="n">
        <v>28</v>
      </c>
      <c r="B95" s="5" t="inlineStr">
        <is>
          <t>M (Mezz)</t>
        </is>
      </c>
      <c r="C95" s="16" t="n">
        <v>0</v>
      </c>
      <c r="D95" s="16" t="n">
        <v>364218.02</v>
      </c>
      <c r="E95" s="16" t="n">
        <v>68443904.47</v>
      </c>
    </row>
    <row r="96">
      <c r="A96" s="10" t="n">
        <v>28</v>
      </c>
      <c r="B96" s="7" t="inlineStr">
        <is>
          <t>B (Subordinate)</t>
        </is>
      </c>
      <c r="C96" s="8" t="n">
        <v>0</v>
      </c>
      <c r="D96" s="8" t="n">
        <v>181541.02</v>
      </c>
      <c r="E96" s="8" t="n">
        <v>34115215.47</v>
      </c>
    </row>
    <row r="97">
      <c r="A97" s="6" t="n">
        <v>29</v>
      </c>
      <c r="B97" s="5" t="inlineStr">
        <is>
          <t>A (Senior)</t>
        </is>
      </c>
      <c r="C97" s="16" t="n">
        <v>3783158.54</v>
      </c>
      <c r="D97" s="16" t="n">
        <v>1183383.35</v>
      </c>
      <c r="E97" s="16" t="n">
        <v>254409571.45</v>
      </c>
    </row>
    <row r="98">
      <c r="A98" s="10" t="n">
        <v>29</v>
      </c>
      <c r="B98" s="7" t="inlineStr">
        <is>
          <t>M (Mezz)</t>
        </is>
      </c>
      <c r="C98" s="8" t="n">
        <v>0</v>
      </c>
      <c r="D98" s="8" t="n">
        <v>364218.02</v>
      </c>
      <c r="E98" s="8" t="n">
        <v>68443904.47</v>
      </c>
    </row>
    <row r="99">
      <c r="A99" s="6" t="n">
        <v>29</v>
      </c>
      <c r="B99" s="5" t="inlineStr">
        <is>
          <t>B (Subordinate)</t>
        </is>
      </c>
      <c r="C99" s="16" t="n">
        <v>0</v>
      </c>
      <c r="D99" s="16" t="n">
        <v>180732.04</v>
      </c>
      <c r="E99" s="16" t="n">
        <v>33963191.95</v>
      </c>
    </row>
    <row r="100">
      <c r="A100" s="10" t="n">
        <v>30</v>
      </c>
      <c r="B100" s="7" t="inlineStr">
        <is>
          <t>A (Senior)</t>
        </is>
      </c>
      <c r="C100" s="8" t="n">
        <v>3744400.9</v>
      </c>
      <c r="D100" s="8" t="n">
        <v>1166043.87</v>
      </c>
      <c r="E100" s="8" t="n">
        <v>250665170.55</v>
      </c>
    </row>
    <row r="101">
      <c r="A101" s="6" t="n">
        <v>30</v>
      </c>
      <c r="B101" s="5" t="inlineStr">
        <is>
          <t>M (Mezz)</t>
        </is>
      </c>
      <c r="C101" s="16" t="n">
        <v>0</v>
      </c>
      <c r="D101" s="16" t="n">
        <v>364218.02</v>
      </c>
      <c r="E101" s="16" t="n">
        <v>68443904.47</v>
      </c>
    </row>
    <row r="102">
      <c r="A102" s="10" t="n">
        <v>30</v>
      </c>
      <c r="B102" s="7" t="inlineStr">
        <is>
          <t>B (Subordinate)</t>
        </is>
      </c>
      <c r="C102" s="8" t="n">
        <v>0</v>
      </c>
      <c r="D102" s="8" t="n">
        <v>179931.89</v>
      </c>
      <c r="E102" s="8" t="n">
        <v>33812826.75</v>
      </c>
    </row>
    <row r="103">
      <c r="A103" s="6" t="n">
        <v>31</v>
      </c>
      <c r="B103" s="5" t="inlineStr">
        <is>
          <t>A (Senior)</t>
        </is>
      </c>
      <c r="C103" s="16" t="n">
        <v>3706031.02</v>
      </c>
      <c r="D103" s="16" t="n">
        <v>1148882.03</v>
      </c>
      <c r="E103" s="16" t="n">
        <v>246959139.53</v>
      </c>
    </row>
    <row r="104">
      <c r="A104" s="10" t="n">
        <v>31</v>
      </c>
      <c r="B104" s="7" t="inlineStr">
        <is>
          <t>M (Mezz)</t>
        </is>
      </c>
      <c r="C104" s="8" t="n">
        <v>0</v>
      </c>
      <c r="D104" s="8" t="n">
        <v>364218.02</v>
      </c>
      <c r="E104" s="8" t="n">
        <v>68443904.47</v>
      </c>
    </row>
    <row r="105">
      <c r="A105" s="6" t="n">
        <v>31</v>
      </c>
      <c r="B105" s="5" t="inlineStr">
        <is>
          <t>B (Subordinate)</t>
        </is>
      </c>
      <c r="C105" s="16" t="n">
        <v>0</v>
      </c>
      <c r="D105" s="16" t="n">
        <v>179140.47</v>
      </c>
      <c r="E105" s="16" t="n">
        <v>33664102.83</v>
      </c>
    </row>
    <row r="106">
      <c r="A106" s="10" t="n">
        <v>32</v>
      </c>
      <c r="B106" s="7" t="inlineStr">
        <is>
          <t>A (Senior)</t>
        </is>
      </c>
      <c r="C106" s="8" t="n">
        <v>3668045.09</v>
      </c>
      <c r="D106" s="8" t="n">
        <v>1131896.06</v>
      </c>
      <c r="E106" s="8" t="n">
        <v>243291094.44</v>
      </c>
    </row>
    <row r="107">
      <c r="A107" s="6" t="n">
        <v>32</v>
      </c>
      <c r="B107" s="5" t="inlineStr">
        <is>
          <t>M (Mezz)</t>
        </is>
      </c>
      <c r="C107" s="16" t="n">
        <v>0</v>
      </c>
      <c r="D107" s="16" t="n">
        <v>364218.02</v>
      </c>
      <c r="E107" s="16" t="n">
        <v>68443904.47</v>
      </c>
    </row>
    <row r="108">
      <c r="A108" s="10" t="n">
        <v>32</v>
      </c>
      <c r="B108" s="7" t="inlineStr">
        <is>
          <t>B (Subordinate)</t>
        </is>
      </c>
      <c r="C108" s="8" t="n">
        <v>0</v>
      </c>
      <c r="D108" s="8" t="n">
        <v>178357.69</v>
      </c>
      <c r="E108" s="8" t="n">
        <v>33517003.33</v>
      </c>
    </row>
    <row r="109">
      <c r="A109" s="6" t="n">
        <v>33</v>
      </c>
      <c r="B109" s="5" t="inlineStr">
        <is>
          <t>A (Senior)</t>
        </is>
      </c>
      <c r="C109" s="16" t="n">
        <v>3630439.32</v>
      </c>
      <c r="D109" s="16" t="n">
        <v>1115084.18</v>
      </c>
      <c r="E109" s="16" t="n">
        <v>239660655.12</v>
      </c>
    </row>
    <row r="110">
      <c r="A110" s="10" t="n">
        <v>33</v>
      </c>
      <c r="B110" s="7" t="inlineStr">
        <is>
          <t>M (Mezz)</t>
        </is>
      </c>
      <c r="C110" s="8" t="n">
        <v>0</v>
      </c>
      <c r="D110" s="8" t="n">
        <v>364218.02</v>
      </c>
      <c r="E110" s="8" t="n">
        <v>68443904.47</v>
      </c>
    </row>
    <row r="111">
      <c r="A111" s="6" t="n">
        <v>33</v>
      </c>
      <c r="B111" s="5" t="inlineStr">
        <is>
          <t>B (Subordinate)</t>
        </is>
      </c>
      <c r="C111" s="16" t="n">
        <v>0</v>
      </c>
      <c r="D111" s="16" t="n">
        <v>177583.47</v>
      </c>
      <c r="E111" s="16" t="n">
        <v>33371511.56</v>
      </c>
    </row>
    <row r="112">
      <c r="A112" s="10" t="n">
        <v>34</v>
      </c>
      <c r="B112" s="7" t="inlineStr">
        <is>
          <t>A (Senior)</t>
        </is>
      </c>
      <c r="C112" s="8" t="n">
        <v>3593209.91</v>
      </c>
      <c r="D112" s="8" t="n">
        <v>1098444.67</v>
      </c>
      <c r="E112" s="8" t="n">
        <v>236067445.21</v>
      </c>
    </row>
    <row r="113">
      <c r="A113" s="6" t="n">
        <v>34</v>
      </c>
      <c r="B113" s="5" t="inlineStr">
        <is>
          <t>M (Mezz)</t>
        </is>
      </c>
      <c r="C113" s="16" t="n">
        <v>0</v>
      </c>
      <c r="D113" s="16" t="n">
        <v>364218.02</v>
      </c>
      <c r="E113" s="16" t="n">
        <v>68443904.47</v>
      </c>
    </row>
    <row r="114">
      <c r="A114" s="10" t="n">
        <v>34</v>
      </c>
      <c r="B114" s="7" t="inlineStr">
        <is>
          <t>B (Subordinate)</t>
        </is>
      </c>
      <c r="C114" s="8" t="n">
        <v>0</v>
      </c>
      <c r="D114" s="8" t="n">
        <v>176817.71</v>
      </c>
      <c r="E114" s="8" t="n">
        <v>33227611</v>
      </c>
    </row>
    <row r="115">
      <c r="A115" s="6" t="n">
        <v>35</v>
      </c>
      <c r="B115" s="5" t="inlineStr">
        <is>
          <t>A (Senior)</t>
        </is>
      </c>
      <c r="C115" s="16" t="n">
        <v>3556353.15</v>
      </c>
      <c r="D115" s="16" t="n">
        <v>1081975.79</v>
      </c>
      <c r="E115" s="16" t="n">
        <v>232511092.06</v>
      </c>
    </row>
    <row r="116">
      <c r="A116" s="10" t="n">
        <v>35</v>
      </c>
      <c r="B116" s="7" t="inlineStr">
        <is>
          <t>M (Mezz)</t>
        </is>
      </c>
      <c r="C116" s="8" t="n">
        <v>0</v>
      </c>
      <c r="D116" s="8" t="n">
        <v>364218.02</v>
      </c>
      <c r="E116" s="8" t="n">
        <v>68443904.47</v>
      </c>
    </row>
    <row r="117">
      <c r="A117" s="6" t="n">
        <v>35</v>
      </c>
      <c r="B117" s="5" t="inlineStr">
        <is>
          <t>B (Subordinate)</t>
        </is>
      </c>
      <c r="C117" s="16" t="n">
        <v>0</v>
      </c>
      <c r="D117" s="16" t="n">
        <v>176060.34</v>
      </c>
      <c r="E117" s="16" t="n">
        <v>33085285.28</v>
      </c>
    </row>
    <row r="118">
      <c r="A118" s="10" t="n">
        <v>36</v>
      </c>
      <c r="B118" s="7" t="inlineStr">
        <is>
          <t>A (Senior)</t>
        </is>
      </c>
      <c r="C118" s="8" t="n">
        <v>3519865.34</v>
      </c>
      <c r="D118" s="8" t="n">
        <v>1065675.84</v>
      </c>
      <c r="E118" s="8" t="n">
        <v>228991226.72</v>
      </c>
    </row>
    <row r="119">
      <c r="A119" s="6" t="n">
        <v>36</v>
      </c>
      <c r="B119" s="5" t="inlineStr">
        <is>
          <t>M (Mezz)</t>
        </is>
      </c>
      <c r="C119" s="16" t="n">
        <v>0</v>
      </c>
      <c r="D119" s="16" t="n">
        <v>364218.02</v>
      </c>
      <c r="E119" s="16" t="n">
        <v>68443904.47</v>
      </c>
    </row>
    <row r="120">
      <c r="A120" s="10" t="n">
        <v>36</v>
      </c>
      <c r="B120" s="7" t="inlineStr">
        <is>
          <t>B (Subordinate)</t>
        </is>
      </c>
      <c r="C120" s="8" t="n">
        <v>0</v>
      </c>
      <c r="D120" s="8" t="n">
        <v>175311.26</v>
      </c>
      <c r="E120" s="8" t="n">
        <v>32944518.21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0" customWidth="1" min="4" max="4"/>
    <col width="10" customWidth="1" min="5" max="5"/>
    <col width="16" customWidth="1" min="6" max="6"/>
    <col width="12" customWidth="1" min="7" max="7"/>
    <col width="18" customWidth="1" min="8" max="8"/>
  </cols>
  <sheetData>
    <row r="1">
      <c r="A1" s="1" t="inlineStr">
        <is>
          <t>Tranche Exposure, Expected Loss and RWA</t>
        </is>
      </c>
    </row>
    <row r="2">
      <c r="A2" s="20" t="inlineStr">
        <is>
          <t>EL = EAD × PD × LGD and RWA = EAD × risk weight are live formulas. LGD and the risk-weight table live on Assumptions.</t>
        </is>
      </c>
    </row>
    <row r="4">
      <c r="A4" s="4" t="inlineStr">
        <is>
          <t>Tranche</t>
        </is>
      </c>
      <c r="B4" s="4" t="inlineStr">
        <is>
          <t>Proxy rating</t>
        </is>
      </c>
      <c r="C4" s="4" t="inlineStr">
        <is>
          <t>EAD</t>
        </is>
      </c>
      <c r="D4" s="4" t="inlineStr">
        <is>
          <t>PD</t>
        </is>
      </c>
      <c r="E4" s="4" t="inlineStr">
        <is>
          <t>LGD</t>
        </is>
      </c>
      <c r="F4" s="4" t="inlineStr">
        <is>
          <t>Expected loss</t>
        </is>
      </c>
      <c r="G4" s="4" t="inlineStr">
        <is>
          <t>Risk weight</t>
        </is>
      </c>
      <c r="H4" s="4" t="inlineStr">
        <is>
          <t>RWA</t>
        </is>
      </c>
    </row>
    <row r="5">
      <c r="A5" s="5" t="inlineStr">
        <is>
          <t>A (Senior)</t>
        </is>
      </c>
      <c r="B5" s="5" t="inlineStr">
        <is>
          <t>AAA</t>
        </is>
      </c>
      <c r="C5" s="16" t="n">
        <v>228991226.72</v>
      </c>
      <c r="D5" s="13" t="n">
        <v>0.00215</v>
      </c>
      <c r="E5" s="29">
        <f>Assumptions!$B$7</f>
        <v/>
      </c>
      <c r="F5" s="16">
        <f>C5*D5*E5</f>
        <v/>
      </c>
      <c r="G5" s="30">
        <f>INDEX(Assumptions!$B$18:$B$24,MATCH(B5,Assumptions!$A$18:$A$24,0))</f>
        <v/>
      </c>
      <c r="H5" s="16">
        <f>C5*G5</f>
        <v/>
      </c>
    </row>
    <row r="6">
      <c r="A6" s="7" t="inlineStr">
        <is>
          <t>B (Subordinate)</t>
        </is>
      </c>
      <c r="B6" s="7" t="inlineStr">
        <is>
          <t>BB</t>
        </is>
      </c>
      <c r="C6" s="8" t="n">
        <v>32944518.21</v>
      </c>
      <c r="D6" s="14" t="n">
        <v>0.035839</v>
      </c>
      <c r="E6" s="31">
        <f>Assumptions!$B$7</f>
        <v/>
      </c>
      <c r="F6" s="8">
        <f>C6*D6*E6</f>
        <v/>
      </c>
      <c r="G6" s="32">
        <f>INDEX(Assumptions!$B$18:$B$24,MATCH(B6,Assumptions!$A$18:$A$24,0))</f>
        <v/>
      </c>
      <c r="H6" s="8">
        <f>C6*G6</f>
        <v/>
      </c>
    </row>
    <row r="7">
      <c r="A7" s="5" t="inlineStr">
        <is>
          <t>M (Mezz)</t>
        </is>
      </c>
      <c r="B7" s="5" t="inlineStr">
        <is>
          <t>BBB</t>
        </is>
      </c>
      <c r="C7" s="16" t="n">
        <v>68443904.47</v>
      </c>
      <c r="D7" s="13" t="n">
        <v>0.012902</v>
      </c>
      <c r="E7" s="29">
        <f>Assumptions!$B$7</f>
        <v/>
      </c>
      <c r="F7" s="16">
        <f>C7*D7*E7</f>
        <v/>
      </c>
      <c r="G7" s="30">
        <f>INDEX(Assumptions!$B$18:$B$24,MATCH(B7,Assumptions!$A$18:$A$24,0))</f>
        <v/>
      </c>
      <c r="H7" s="16">
        <f>C7*G7</f>
        <v/>
      </c>
    </row>
    <row r="8">
      <c r="A8" s="7" t="inlineStr">
        <is>
          <t>Total</t>
        </is>
      </c>
      <c r="B8" s="7" t="n"/>
      <c r="C8" s="8">
        <f>SUM(C5:C7)</f>
        <v/>
      </c>
      <c r="D8" s="7" t="n"/>
      <c r="E8" s="7" t="n"/>
      <c r="F8" s="8">
        <f>SUM(F5:F7)</f>
        <v/>
      </c>
      <c r="G8" s="7" t="n"/>
      <c r="H8" s="8">
        <f>SUM(H5:H7)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11" customWidth="1" min="3" max="3"/>
    <col width="11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VAE-Generated Scenario Stress</t>
        </is>
      </c>
      <c r="B1" s="33" t="n">
        <v>488885031.95</v>
      </c>
      <c r="C1" s="20" t="inlineStr">
        <is>
          <t>← pool UPB (denominator for loss %)</t>
        </is>
      </c>
    </row>
    <row r="2">
      <c r="A2" s="20" t="inlineStr">
        <is>
          <t>Scenarios sampled from the latent space of a VAE trained on macro regime paths — generated, not hand-specified.</t>
        </is>
      </c>
    </row>
    <row r="4">
      <c r="A4" s="4" t="inlineStr">
        <is>
          <t>Scenario</t>
        </is>
      </c>
      <c r="B4" s="4" t="inlineStr">
        <is>
          <t>Label</t>
        </is>
      </c>
      <c r="C4" s="4" t="inlineStr">
        <is>
          <t>Avg CPR</t>
        </is>
      </c>
      <c r="D4" s="4" t="inlineStr">
        <is>
          <t>Avg CDR</t>
        </is>
      </c>
      <c r="E4" s="4" t="inlineStr">
        <is>
          <t>Cumulative loss</t>
        </is>
      </c>
      <c r="F4" s="4" t="inlineStr">
        <is>
          <t>Loss % of UPB</t>
        </is>
      </c>
      <c r="G4" s="4" t="inlineStr">
        <is>
          <t>Sub write-down</t>
        </is>
      </c>
      <c r="H4" s="4" t="inlineStr">
        <is>
          <t>Escalates?</t>
        </is>
      </c>
    </row>
    <row r="5">
      <c r="A5" s="5" t="inlineStr">
        <is>
          <t>S1</t>
        </is>
      </c>
      <c r="B5" s="5" t="inlineStr">
        <is>
          <t>Credit stress (rising unemployment, HPI decline)</t>
        </is>
      </c>
      <c r="C5" s="13" t="n">
        <v>0.1131</v>
      </c>
      <c r="D5" s="13" t="n">
        <v>0.0291</v>
      </c>
      <c r="E5" s="16" t="n">
        <v>12173172.36</v>
      </c>
      <c r="F5" s="13">
        <f>E5/$B$1</f>
        <v/>
      </c>
      <c r="G5" s="16" t="n">
        <v>12173172.36</v>
      </c>
      <c r="H5" s="5">
        <f>IF(F5&gt;Assumptions!$B$8,"ESCALATE","within tolerance")</f>
        <v/>
      </c>
    </row>
    <row r="6">
      <c r="A6" s="7" t="inlineStr">
        <is>
          <t>S2</t>
        </is>
      </c>
      <c r="B6" s="7" t="inlineStr">
        <is>
          <t>Rate rally (elevated prepayment incentive)</t>
        </is>
      </c>
      <c r="C6" s="14" t="n">
        <v>0.1575</v>
      </c>
      <c r="D6" s="14" t="n">
        <v>0.0146</v>
      </c>
      <c r="E6" s="8" t="n">
        <v>5825826.18</v>
      </c>
      <c r="F6" s="14">
        <f>E6/$B$1</f>
        <v/>
      </c>
      <c r="G6" s="8" t="n">
        <v>5825826.18</v>
      </c>
      <c r="H6" s="7">
        <f>IF(F6&gt;Assumptions!$B$8,"ESCALATE","within tolerance")</f>
        <v/>
      </c>
    </row>
    <row r="7">
      <c r="A7" s="5" t="inlineStr">
        <is>
          <t>S3</t>
        </is>
      </c>
      <c r="B7" s="5" t="inlineStr">
        <is>
          <t>Base-like</t>
        </is>
      </c>
      <c r="C7" s="13" t="n">
        <v>0.08439999999999999</v>
      </c>
      <c r="D7" s="13" t="n">
        <v>0.0142</v>
      </c>
      <c r="E7" s="16" t="n">
        <v>6250229.23</v>
      </c>
      <c r="F7" s="13">
        <f>E7/$B$1</f>
        <v/>
      </c>
      <c r="G7" s="16" t="n">
        <v>6250229.23</v>
      </c>
      <c r="H7" s="5">
        <f>IF(F7&gt;Assumptions!$B$8,"ESCALATE","within tolerance")</f>
        <v/>
      </c>
    </row>
    <row r="8">
      <c r="A8" s="7" t="inlineStr">
        <is>
          <t>S4</t>
        </is>
      </c>
      <c r="B8" s="7" t="inlineStr">
        <is>
          <t>Base-like</t>
        </is>
      </c>
      <c r="C8" s="14" t="n">
        <v>0.1118</v>
      </c>
      <c r="D8" s="14" t="n">
        <v>0.0152</v>
      </c>
      <c r="E8" s="8" t="n">
        <v>6544150.56</v>
      </c>
      <c r="F8" s="14">
        <f>E8/$B$1</f>
        <v/>
      </c>
      <c r="G8" s="8" t="n">
        <v>6544150.56</v>
      </c>
      <c r="H8" s="7">
        <f>IF(F8&gt;Assumptions!$B$8,"ESCALATE","within tolerance")</f>
        <v/>
      </c>
    </row>
    <row r="9">
      <c r="A9" s="5" t="inlineStr">
        <is>
          <t>S5</t>
        </is>
      </c>
      <c r="B9" s="5" t="inlineStr">
        <is>
          <t>Rate rally (elevated prepayment incentive)</t>
        </is>
      </c>
      <c r="C9" s="13" t="n">
        <v>0.1232</v>
      </c>
      <c r="D9" s="13" t="n">
        <v>0.0142</v>
      </c>
      <c r="E9" s="16" t="n">
        <v>5988883.41</v>
      </c>
      <c r="F9" s="13">
        <f>E9/$B$1</f>
        <v/>
      </c>
      <c r="G9" s="16" t="n">
        <v>5988883.41</v>
      </c>
      <c r="H9" s="5">
        <f>IF(F9&gt;Assumptions!$B$8,"ESCALATE","within tolerance")</f>
        <v/>
      </c>
    </row>
  </sheetData>
  <conditionalFormatting sqref="H5:H9">
    <cfRule type="cellIs" priority="1" operator="equal" dxfId="0">
      <formula>"ESCALATE"</formula>
    </cfRule>
  </conditionalFormatting>
  <conditionalFormatting sqref="F5:F9">
    <cfRule type="colorScale" priority="2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2026-08-13T10:29:13Z</dcterms:created>
  <dcterms:modified xmlns:dcterms="http://purl.org/dc/terms/" xmlns:xsi="http://www.w3.org/2001/XMLSchema-instance" xsi:type="dcterms:W3CDTF">2026-08-13T10:29:14Z</dcterms:modified>
</cp:coreProperties>
</file>